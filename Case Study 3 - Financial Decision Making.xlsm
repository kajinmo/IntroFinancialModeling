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kajin\Downloads\"/>
    </mc:Choice>
  </mc:AlternateContent>
  <xr:revisionPtr revIDLastSave="0" documentId="13_ncr:1_{DBB6F0DD-542B-4540-98CF-7277816A3B0F}" xr6:coauthVersionLast="47" xr6:coauthVersionMax="47" xr10:uidLastSave="{00000000-0000-0000-0000-000000000000}"/>
  <bookViews>
    <workbookView xWindow="28680" yWindow="-120" windowWidth="29040" windowHeight="15840" tabRatio="907" activeTab="2" xr2:uid="{00000000-000D-0000-FFFF-FFFF00000000}"/>
  </bookViews>
  <sheets>
    <sheet name="Model Design" sheetId="40" r:id="rId1"/>
    <sheet name="1. Instructions" sheetId="30" r:id="rId2"/>
    <sheet name="2. Summary" sheetId="33" r:id="rId3"/>
    <sheet name="3. Sensitivity Analysis" sheetId="39" r:id="rId4"/>
    <sheet name="4. Acquisition Financing" sheetId="37" r:id="rId5"/>
    <sheet name="5. Projected Income Statement" sheetId="9" r:id="rId6"/>
    <sheet name="6. Projected Sales" sheetId="3" r:id="rId7"/>
    <sheet name="7. Projected Payroll" sheetId="6" r:id="rId8"/>
    <sheet name="8. Projected Oper. Expenses" sheetId="7" r:id="rId9"/>
  </sheets>
  <externalReferences>
    <externalReference r:id="rId10"/>
    <externalReference r:id="rId11"/>
  </externalReferences>
  <definedNames>
    <definedName name="ActualIS">'[1]8. Actual Income Statement'!$A$6:$Q$41</definedName>
    <definedName name="ActualSales">'[1]6. Actual Sales Data'!$A$5:$G$17</definedName>
    <definedName name="Amortization" localSheetId="0">'[2]8. Business Loan'!$H$2:$L$62</definedName>
    <definedName name="Amortization">#REF!</definedName>
    <definedName name="_xlnm.Print_Area" localSheetId="1">'1. Instructions'!$A$1:$M$27</definedName>
    <definedName name="_xlnm.Print_Area" localSheetId="2">'2. Summary'!$A$1:$O$47,'2. Summary'!$A$49:$O$82</definedName>
    <definedName name="_xlnm.Print_Area" localSheetId="3">'3. Sensitivity Analysis'!$A$1:$H$26</definedName>
    <definedName name="_xlnm.Print_Area" localSheetId="4">'4. Acquisition Financing'!$A$1:$K$129</definedName>
    <definedName name="_xlnm.Print_Area" localSheetId="5">'5. Projected Income Statement'!$A$1:$R$35</definedName>
    <definedName name="_xlnm.Print_Area" localSheetId="6">'6. Projected Sales'!$A$1:$T$31</definedName>
    <definedName name="_xlnm.Print_Area" localSheetId="7">'7. Projected Payroll'!$A$1:$X$16</definedName>
    <definedName name="_xlnm.Print_Area" localSheetId="8">'8. Projected Oper. Expenses'!$A$1:$J$21</definedName>
    <definedName name="_xlnm.Print_Area" localSheetId="0">'Model Design'!$A$1:$L$19</definedName>
    <definedName name="ProjectedIS">'[1]7. Projected Income Statement'!$A$6:$Q$41</definedName>
    <definedName name="solver_adj" localSheetId="2" hidden="1">'2. Summary'!$C$7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'2. Summary'!$O$6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0.18</definedName>
    <definedName name="solver_ver" localSheetId="2" hidden="1">3</definedName>
    <definedName name="_xlnm.Print_Titles" localSheetId="5">'5. Projected Income Statement'!$2:$6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39" l="1"/>
  <c r="F24" i="39"/>
  <c r="E24" i="39"/>
  <c r="D24" i="39"/>
  <c r="C24" i="39"/>
  <c r="B24" i="39"/>
  <c r="G23" i="39"/>
  <c r="F23" i="39"/>
  <c r="E23" i="39"/>
  <c r="D23" i="39"/>
  <c r="C23" i="39"/>
  <c r="B23" i="39"/>
  <c r="G22" i="39"/>
  <c r="F22" i="39"/>
  <c r="E22" i="39"/>
  <c r="D22" i="39"/>
  <c r="C22" i="39"/>
  <c r="B22" i="39"/>
  <c r="G21" i="39"/>
  <c r="F21" i="39"/>
  <c r="E21" i="39"/>
  <c r="D21" i="39"/>
  <c r="C21" i="39"/>
  <c r="B21" i="39"/>
  <c r="G20" i="39"/>
  <c r="F20" i="39"/>
  <c r="E20" i="39"/>
  <c r="D20" i="39"/>
  <c r="C20" i="39"/>
  <c r="B20" i="39"/>
  <c r="G19" i="39"/>
  <c r="F19" i="39"/>
  <c r="E19" i="39"/>
  <c r="D19" i="39"/>
  <c r="C19" i="39"/>
  <c r="B19" i="39"/>
  <c r="G18" i="39"/>
  <c r="F18" i="39"/>
  <c r="E18" i="39"/>
  <c r="D18" i="39"/>
  <c r="C18" i="39"/>
  <c r="B18" i="39"/>
  <c r="G17" i="39"/>
  <c r="F17" i="39"/>
  <c r="E17" i="39"/>
  <c r="D17" i="39"/>
  <c r="C17" i="39"/>
  <c r="G7" i="39"/>
  <c r="F7" i="39"/>
  <c r="E7" i="39"/>
  <c r="D7" i="39"/>
  <c r="C7" i="39"/>
  <c r="C8" i="39"/>
  <c r="D8" i="39"/>
  <c r="E8" i="39"/>
  <c r="F8" i="39"/>
  <c r="G8" i="39"/>
  <c r="G14" i="39"/>
  <c r="F14" i="39"/>
  <c r="E14" i="39"/>
  <c r="D14" i="39"/>
  <c r="C14" i="39"/>
  <c r="B14" i="39"/>
  <c r="G13" i="39"/>
  <c r="F13" i="39"/>
  <c r="E13" i="39"/>
  <c r="D13" i="39"/>
  <c r="C13" i="39"/>
  <c r="B13" i="39"/>
  <c r="G12" i="39"/>
  <c r="F12" i="39"/>
  <c r="E12" i="39"/>
  <c r="D12" i="39"/>
  <c r="C12" i="39"/>
  <c r="B12" i="39"/>
  <c r="G11" i="39"/>
  <c r="F11" i="39"/>
  <c r="E11" i="39"/>
  <c r="D11" i="39"/>
  <c r="C11" i="39"/>
  <c r="B11" i="39"/>
  <c r="G10" i="39"/>
  <c r="F10" i="39"/>
  <c r="E10" i="39"/>
  <c r="D10" i="39"/>
  <c r="C10" i="39"/>
  <c r="B10" i="39"/>
  <c r="G9" i="39"/>
  <c r="F9" i="39"/>
  <c r="E9" i="39"/>
  <c r="D9" i="39"/>
  <c r="C9" i="39"/>
  <c r="B9" i="39"/>
  <c r="B8" i="39"/>
  <c r="T20" i="33"/>
  <c r="U20" i="33" s="1"/>
  <c r="V20" i="33" s="1"/>
  <c r="W20" i="33" s="1"/>
  <c r="S20" i="33"/>
  <c r="Q13" i="33"/>
  <c r="Q14" i="33" s="1"/>
  <c r="Q15" i="33" s="1"/>
  <c r="Q16" i="33" s="1"/>
  <c r="Q17" i="33" s="1"/>
  <c r="Q12" i="33"/>
  <c r="F55" i="33" l="1"/>
  <c r="G56" i="33"/>
  <c r="F56" i="33"/>
  <c r="H57" i="33"/>
  <c r="G57" i="33"/>
  <c r="F57" i="33"/>
  <c r="I58" i="33"/>
  <c r="H58" i="33"/>
  <c r="G58" i="33"/>
  <c r="F58" i="33"/>
  <c r="J59" i="33"/>
  <c r="I59" i="33"/>
  <c r="H59" i="33"/>
  <c r="G59" i="33"/>
  <c r="F59" i="33"/>
  <c r="K60" i="33"/>
  <c r="J60" i="33"/>
  <c r="I60" i="33"/>
  <c r="H60" i="33"/>
  <c r="G60" i="33"/>
  <c r="F60" i="33"/>
  <c r="L61" i="33"/>
  <c r="K61" i="33"/>
  <c r="J61" i="33"/>
  <c r="I61" i="33"/>
  <c r="H61" i="33"/>
  <c r="G61" i="33"/>
  <c r="F61" i="33"/>
  <c r="M62" i="33"/>
  <c r="L62" i="33"/>
  <c r="K62" i="33"/>
  <c r="J62" i="33"/>
  <c r="I62" i="33"/>
  <c r="H62" i="33"/>
  <c r="G62" i="33"/>
  <c r="F62" i="33"/>
  <c r="M63" i="33"/>
  <c r="L63" i="33"/>
  <c r="K63" i="33"/>
  <c r="J63" i="33"/>
  <c r="I63" i="33"/>
  <c r="H63" i="33"/>
  <c r="G63" i="33"/>
  <c r="F63" i="33"/>
  <c r="N63" i="33"/>
  <c r="O63" i="33"/>
  <c r="N62" i="33"/>
  <c r="M61" i="33"/>
  <c r="L60" i="33"/>
  <c r="K59" i="33"/>
  <c r="J58" i="33"/>
  <c r="I57" i="33"/>
  <c r="H56" i="33"/>
  <c r="G55" i="33"/>
  <c r="F54" i="33"/>
  <c r="O42" i="33"/>
  <c r="O43" i="33" s="1"/>
  <c r="N42" i="33"/>
  <c r="M42" i="33"/>
  <c r="L42" i="33"/>
  <c r="K42" i="33"/>
  <c r="K43" i="33" s="1"/>
  <c r="J42" i="33"/>
  <c r="I42" i="33"/>
  <c r="H42" i="33"/>
  <c r="G42" i="33"/>
  <c r="G43" i="33" s="1"/>
  <c r="N43" i="33"/>
  <c r="M43" i="33"/>
  <c r="L43" i="33"/>
  <c r="J43" i="33"/>
  <c r="I43" i="33"/>
  <c r="H43" i="33"/>
  <c r="F43" i="33"/>
  <c r="F42" i="33"/>
  <c r="O41" i="33"/>
  <c r="N41" i="33"/>
  <c r="M41" i="33"/>
  <c r="L41" i="33"/>
  <c r="K41" i="33"/>
  <c r="J41" i="33"/>
  <c r="I41" i="33"/>
  <c r="H41" i="33"/>
  <c r="G41" i="33"/>
  <c r="F41" i="33"/>
  <c r="G39" i="33"/>
  <c r="H39" i="33" s="1"/>
  <c r="I39" i="33" s="1"/>
  <c r="J39" i="33" s="1"/>
  <c r="K39" i="33" s="1"/>
  <c r="L39" i="33" s="1"/>
  <c r="M39" i="33" s="1"/>
  <c r="N39" i="33" s="1"/>
  <c r="O39" i="33" s="1"/>
  <c r="C7" i="37"/>
  <c r="C6" i="37"/>
  <c r="F128" i="37"/>
  <c r="F127" i="37"/>
  <c r="F11" i="37"/>
  <c r="F12" i="37" s="1"/>
  <c r="F13" i="37" s="1"/>
  <c r="F14" i="37" s="1"/>
  <c r="F15" i="37" s="1"/>
  <c r="F16" i="37" s="1"/>
  <c r="F17" i="37" s="1"/>
  <c r="F18" i="37" s="1"/>
  <c r="F19" i="37" s="1"/>
  <c r="F20" i="37" s="1"/>
  <c r="F21" i="37" s="1"/>
  <c r="F22" i="37" s="1"/>
  <c r="F23" i="37" s="1"/>
  <c r="F24" i="37" s="1"/>
  <c r="F25" i="37" s="1"/>
  <c r="F26" i="37" s="1"/>
  <c r="F27" i="37" s="1"/>
  <c r="F28" i="37" s="1"/>
  <c r="F29" i="37" s="1"/>
  <c r="F30" i="37" s="1"/>
  <c r="F31" i="37" s="1"/>
  <c r="F32" i="37" s="1"/>
  <c r="F33" i="37" s="1"/>
  <c r="F34" i="37" s="1"/>
  <c r="F35" i="37" s="1"/>
  <c r="F36" i="37" s="1"/>
  <c r="F37" i="37" s="1"/>
  <c r="F38" i="37" s="1"/>
  <c r="F39" i="37" s="1"/>
  <c r="F40" i="37" s="1"/>
  <c r="F41" i="37" s="1"/>
  <c r="F42" i="37" s="1"/>
  <c r="F43" i="37" s="1"/>
  <c r="F44" i="37" s="1"/>
  <c r="F45" i="37" s="1"/>
  <c r="F46" i="37" s="1"/>
  <c r="F47" i="37" s="1"/>
  <c r="F48" i="37" s="1"/>
  <c r="F49" i="37" s="1"/>
  <c r="F50" i="37" s="1"/>
  <c r="F51" i="37" s="1"/>
  <c r="F52" i="37" s="1"/>
  <c r="F53" i="37" s="1"/>
  <c r="F54" i="37" s="1"/>
  <c r="F55" i="37" s="1"/>
  <c r="F56" i="37" s="1"/>
  <c r="F57" i="37" s="1"/>
  <c r="F58" i="37" s="1"/>
  <c r="F59" i="37" s="1"/>
  <c r="F60" i="37" s="1"/>
  <c r="F61" i="37" s="1"/>
  <c r="F62" i="37" s="1"/>
  <c r="F63" i="37" s="1"/>
  <c r="F64" i="37" s="1"/>
  <c r="F65" i="37" s="1"/>
  <c r="F66" i="37" s="1"/>
  <c r="F67" i="37" s="1"/>
  <c r="F68" i="37" s="1"/>
  <c r="F69" i="37" s="1"/>
  <c r="F70" i="37" s="1"/>
  <c r="F71" i="37" s="1"/>
  <c r="F72" i="37" s="1"/>
  <c r="F73" i="37" s="1"/>
  <c r="F74" i="37" s="1"/>
  <c r="F75" i="37" s="1"/>
  <c r="F76" i="37" s="1"/>
  <c r="F77" i="37" s="1"/>
  <c r="F78" i="37" s="1"/>
  <c r="F79" i="37" s="1"/>
  <c r="F80" i="37" s="1"/>
  <c r="F81" i="37" s="1"/>
  <c r="F82" i="37" s="1"/>
  <c r="F83" i="37" s="1"/>
  <c r="F84" i="37" s="1"/>
  <c r="F85" i="37" s="1"/>
  <c r="F86" i="37" s="1"/>
  <c r="F87" i="37" s="1"/>
  <c r="F88" i="37" s="1"/>
  <c r="F89" i="37" s="1"/>
  <c r="F90" i="37" s="1"/>
  <c r="F91" i="37" s="1"/>
  <c r="F92" i="37" s="1"/>
  <c r="F93" i="37" s="1"/>
  <c r="F94" i="37" s="1"/>
  <c r="F95" i="37" s="1"/>
  <c r="F96" i="37" s="1"/>
  <c r="F97" i="37" s="1"/>
  <c r="F98" i="37" s="1"/>
  <c r="F99" i="37" s="1"/>
  <c r="F100" i="37" s="1"/>
  <c r="F101" i="37" s="1"/>
  <c r="F102" i="37" s="1"/>
  <c r="F103" i="37" s="1"/>
  <c r="F104" i="37" s="1"/>
  <c r="F105" i="37" s="1"/>
  <c r="F106" i="37" s="1"/>
  <c r="F107" i="37" s="1"/>
  <c r="F108" i="37" s="1"/>
  <c r="F109" i="37" s="1"/>
  <c r="F110" i="37" s="1"/>
  <c r="F111" i="37" s="1"/>
  <c r="F112" i="37" s="1"/>
  <c r="F113" i="37" s="1"/>
  <c r="F114" i="37" s="1"/>
  <c r="F115" i="37" s="1"/>
  <c r="F116" i="37" s="1"/>
  <c r="F117" i="37" s="1"/>
  <c r="F118" i="37" s="1"/>
  <c r="F119" i="37" s="1"/>
  <c r="F120" i="37" s="1"/>
  <c r="F121" i="37" s="1"/>
  <c r="F122" i="37" s="1"/>
  <c r="F123" i="37" s="1"/>
  <c r="F124" i="37" s="1"/>
  <c r="F125" i="37" s="1"/>
  <c r="F126" i="37" s="1"/>
  <c r="F10" i="37"/>
  <c r="D13" i="33"/>
  <c r="D14" i="33" s="1"/>
  <c r="F29" i="33"/>
  <c r="I6" i="33" s="1"/>
  <c r="I7" i="33" s="1"/>
  <c r="I8" i="33" s="1"/>
  <c r="I9" i="33" s="1"/>
  <c r="I10" i="33" s="1"/>
  <c r="I11" i="33" s="1"/>
  <c r="I12" i="33" s="1"/>
  <c r="I13" i="33" s="1"/>
  <c r="I14" i="33" s="1"/>
  <c r="I15" i="33" s="1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S22" i="3"/>
  <c r="R22" i="3"/>
  <c r="Q22" i="3"/>
  <c r="P22" i="3"/>
  <c r="O22" i="3"/>
  <c r="N22" i="3"/>
  <c r="M22" i="3"/>
  <c r="L22" i="3"/>
  <c r="K22" i="3"/>
  <c r="J22" i="3"/>
  <c r="I22" i="3"/>
  <c r="T22" i="3"/>
  <c r="H22" i="3"/>
  <c r="H21" i="3"/>
  <c r="T21" i="3" s="1"/>
  <c r="S10" i="3"/>
  <c r="R10" i="3"/>
  <c r="Q10" i="3"/>
  <c r="P10" i="3"/>
  <c r="O10" i="3"/>
  <c r="N10" i="3"/>
  <c r="M10" i="3"/>
  <c r="L10" i="3"/>
  <c r="K10" i="3"/>
  <c r="J10" i="3"/>
  <c r="I10" i="3"/>
  <c r="H10" i="3"/>
  <c r="S9" i="3"/>
  <c r="R9" i="3"/>
  <c r="Q9" i="3"/>
  <c r="P9" i="3"/>
  <c r="O9" i="3"/>
  <c r="N9" i="3"/>
  <c r="M9" i="3"/>
  <c r="L9" i="3"/>
  <c r="K9" i="3"/>
  <c r="J9" i="3"/>
  <c r="I9" i="3"/>
  <c r="H9" i="3"/>
  <c r="H11" i="3" s="1"/>
  <c r="S11" i="3"/>
  <c r="R11" i="3"/>
  <c r="Q11" i="3"/>
  <c r="P11" i="3"/>
  <c r="O11" i="3"/>
  <c r="N11" i="3"/>
  <c r="M11" i="3"/>
  <c r="L11" i="3"/>
  <c r="K11" i="3"/>
  <c r="J11" i="3"/>
  <c r="I11" i="3"/>
  <c r="T10" i="3"/>
  <c r="T8" i="3"/>
  <c r="G27" i="33"/>
  <c r="H27" i="33" s="1"/>
  <c r="I27" i="33" s="1"/>
  <c r="J27" i="33" s="1"/>
  <c r="K27" i="33" s="1"/>
  <c r="L27" i="33" s="1"/>
  <c r="M27" i="33" s="1"/>
  <c r="N27" i="33" s="1"/>
  <c r="N29" i="33" s="1"/>
  <c r="J29" i="33" l="1"/>
  <c r="K29" i="33"/>
  <c r="G29" i="33"/>
  <c r="H29" i="33"/>
  <c r="L29" i="33"/>
  <c r="I29" i="33"/>
  <c r="M29" i="33"/>
  <c r="T11" i="3"/>
  <c r="T9" i="3"/>
  <c r="O27" i="33"/>
  <c r="O29" i="33" s="1"/>
  <c r="V10" i="6" l="1"/>
  <c r="U10" i="6"/>
  <c r="T10" i="6"/>
  <c r="S10" i="6"/>
  <c r="R10" i="6"/>
  <c r="Q10" i="6"/>
  <c r="P10" i="6"/>
  <c r="O10" i="6"/>
  <c r="N10" i="6"/>
  <c r="M10" i="6"/>
  <c r="L10" i="6"/>
  <c r="K10" i="6"/>
  <c r="F7" i="9" l="1"/>
  <c r="G7" i="9" s="1"/>
  <c r="H7" i="9" s="1"/>
  <c r="I7" i="9" s="1"/>
  <c r="J7" i="9" s="1"/>
  <c r="N15" i="9"/>
  <c r="M15" i="9"/>
  <c r="H15" i="9"/>
  <c r="L9" i="9"/>
  <c r="J9" i="9"/>
  <c r="E9" i="9"/>
  <c r="O28" i="9"/>
  <c r="W8" i="6"/>
  <c r="O21" i="9"/>
  <c r="N21" i="9"/>
  <c r="S11" i="6"/>
  <c r="S13" i="6" s="1"/>
  <c r="R11" i="6"/>
  <c r="Q11" i="6"/>
  <c r="Q13" i="6" s="1"/>
  <c r="O11" i="6"/>
  <c r="O13" i="6" s="1"/>
  <c r="N11" i="6"/>
  <c r="M11" i="6"/>
  <c r="M13" i="6" s="1"/>
  <c r="P29" i="9"/>
  <c r="M26" i="9"/>
  <c r="F9" i="9"/>
  <c r="H9" i="9"/>
  <c r="N9" i="9"/>
  <c r="P9" i="9"/>
  <c r="E14" i="9"/>
  <c r="F14" i="9"/>
  <c r="H14" i="9"/>
  <c r="N14" i="9"/>
  <c r="P14" i="9"/>
  <c r="B10" i="9"/>
  <c r="B15" i="9" s="1"/>
  <c r="B9" i="9"/>
  <c r="B14" i="9" s="1"/>
  <c r="B22" i="9"/>
  <c r="E6" i="9"/>
  <c r="F6" i="9"/>
  <c r="G6" i="9"/>
  <c r="H6" i="9"/>
  <c r="I6" i="9"/>
  <c r="J6" i="9"/>
  <c r="K6" i="9"/>
  <c r="L6" i="9"/>
  <c r="M6" i="9"/>
  <c r="N6" i="9"/>
  <c r="O6" i="9"/>
  <c r="P6" i="9"/>
  <c r="E23" i="3"/>
  <c r="F23" i="3" s="1"/>
  <c r="F22" i="3"/>
  <c r="E11" i="3"/>
  <c r="F11" i="3" s="1"/>
  <c r="F10" i="3"/>
  <c r="K11" i="6"/>
  <c r="H21" i="9"/>
  <c r="L21" i="9"/>
  <c r="E21" i="9"/>
  <c r="I21" i="9"/>
  <c r="M10" i="9"/>
  <c r="L10" i="9"/>
  <c r="G15" i="9"/>
  <c r="O15" i="9"/>
  <c r="T11" i="6"/>
  <c r="U11" i="6"/>
  <c r="U13" i="6" s="1"/>
  <c r="N10" i="9" l="1"/>
  <c r="N11" i="9" s="1"/>
  <c r="G26" i="9"/>
  <c r="G16" i="7"/>
  <c r="G18" i="7" s="1"/>
  <c r="J14" i="9"/>
  <c r="I10" i="7"/>
  <c r="T14" i="3"/>
  <c r="H13" i="3" s="1"/>
  <c r="L26" i="9"/>
  <c r="O26" i="9"/>
  <c r="L14" i="9"/>
  <c r="H26" i="9"/>
  <c r="P26" i="9"/>
  <c r="K26" i="9"/>
  <c r="I28" i="9"/>
  <c r="J29" i="9"/>
  <c r="F28" i="9"/>
  <c r="N28" i="9"/>
  <c r="I12" i="7"/>
  <c r="F26" i="9"/>
  <c r="J26" i="9"/>
  <c r="N26" i="9"/>
  <c r="H28" i="9"/>
  <c r="L28" i="9"/>
  <c r="P28" i="9"/>
  <c r="I29" i="9"/>
  <c r="M29" i="9"/>
  <c r="M28" i="9"/>
  <c r="N29" i="9"/>
  <c r="J28" i="9"/>
  <c r="G29" i="9"/>
  <c r="K29" i="9"/>
  <c r="O29" i="9"/>
  <c r="I13" i="7"/>
  <c r="E28" i="9"/>
  <c r="F29" i="9"/>
  <c r="E29" i="9"/>
  <c r="E26" i="9"/>
  <c r="I26" i="9"/>
  <c r="G28" i="9"/>
  <c r="K28" i="9"/>
  <c r="H29" i="9"/>
  <c r="L29" i="9"/>
  <c r="L22" i="9"/>
  <c r="L23" i="9" s="1"/>
  <c r="R13" i="6"/>
  <c r="O22" i="9"/>
  <c r="O23" i="9" s="1"/>
  <c r="N22" i="9"/>
  <c r="N23" i="9" s="1"/>
  <c r="T13" i="6"/>
  <c r="E22" i="9"/>
  <c r="E23" i="9" s="1"/>
  <c r="K13" i="6"/>
  <c r="H22" i="9"/>
  <c r="H23" i="9" s="1"/>
  <c r="N13" i="6"/>
  <c r="K21" i="9"/>
  <c r="G21" i="9"/>
  <c r="M21" i="9"/>
  <c r="L11" i="9"/>
  <c r="N16" i="9"/>
  <c r="L11" i="6"/>
  <c r="F21" i="9"/>
  <c r="W10" i="6"/>
  <c r="W11" i="6" s="1"/>
  <c r="M22" i="9"/>
  <c r="F10" i="9"/>
  <c r="F11" i="9" s="1"/>
  <c r="F15" i="9"/>
  <c r="F16" i="9" s="1"/>
  <c r="T26" i="3"/>
  <c r="N25" i="3" s="1"/>
  <c r="K15" i="9"/>
  <c r="K10" i="9"/>
  <c r="K7" i="9"/>
  <c r="H16" i="9"/>
  <c r="K22" i="9"/>
  <c r="J21" i="9"/>
  <c r="P11" i="6"/>
  <c r="E10" i="9"/>
  <c r="E15" i="9"/>
  <c r="H10" i="9"/>
  <c r="H11" i="9" s="1"/>
  <c r="P15" i="9"/>
  <c r="P16" i="9" s="1"/>
  <c r="P10" i="9"/>
  <c r="P11" i="9" s="1"/>
  <c r="G22" i="9"/>
  <c r="I22" i="9"/>
  <c r="I23" i="9" s="1"/>
  <c r="P21" i="9"/>
  <c r="V11" i="6"/>
  <c r="I10" i="9"/>
  <c r="I15" i="9"/>
  <c r="L15" i="9"/>
  <c r="G10" i="9"/>
  <c r="J10" i="9"/>
  <c r="J11" i="9" s="1"/>
  <c r="J15" i="9"/>
  <c r="O10" i="9"/>
  <c r="S25" i="3" l="1"/>
  <c r="O25" i="3"/>
  <c r="I16" i="7"/>
  <c r="I18" i="7" s="1"/>
  <c r="O13" i="3"/>
  <c r="J13" i="3"/>
  <c r="Q13" i="3"/>
  <c r="R13" i="3"/>
  <c r="S13" i="3"/>
  <c r="I13" i="3"/>
  <c r="E16" i="3"/>
  <c r="K13" i="3"/>
  <c r="M13" i="3"/>
  <c r="L13" i="3"/>
  <c r="Q29" i="9"/>
  <c r="Q28" i="9"/>
  <c r="Q26" i="9"/>
  <c r="L16" i="9"/>
  <c r="E17" i="3"/>
  <c r="E18" i="3" s="1"/>
  <c r="F18" i="3" s="1"/>
  <c r="N18" i="9"/>
  <c r="J16" i="9"/>
  <c r="O14" i="9"/>
  <c r="O16" i="9" s="1"/>
  <c r="O9" i="9"/>
  <c r="O11" i="9" s="1"/>
  <c r="K23" i="9"/>
  <c r="K9" i="9"/>
  <c r="K11" i="9" s="1"/>
  <c r="K14" i="9"/>
  <c r="K16" i="9" s="1"/>
  <c r="N13" i="3"/>
  <c r="G9" i="9"/>
  <c r="G14" i="9"/>
  <c r="P13" i="3"/>
  <c r="M14" i="9"/>
  <c r="M16" i="9" s="1"/>
  <c r="M9" i="9"/>
  <c r="M11" i="9" s="1"/>
  <c r="I9" i="9"/>
  <c r="I11" i="9" s="1"/>
  <c r="I14" i="9"/>
  <c r="I16" i="9" s="1"/>
  <c r="M31" i="9"/>
  <c r="I31" i="9"/>
  <c r="E31" i="9"/>
  <c r="H31" i="9"/>
  <c r="K31" i="9"/>
  <c r="P31" i="9"/>
  <c r="N31" i="9"/>
  <c r="J31" i="9"/>
  <c r="F31" i="9"/>
  <c r="L31" i="9"/>
  <c r="I15" i="7"/>
  <c r="O31" i="9"/>
  <c r="G31" i="9"/>
  <c r="N27" i="9"/>
  <c r="J27" i="9"/>
  <c r="F27" i="9"/>
  <c r="I11" i="7"/>
  <c r="M27" i="9"/>
  <c r="P27" i="9"/>
  <c r="I27" i="9"/>
  <c r="L27" i="9"/>
  <c r="O27" i="9"/>
  <c r="K27" i="9"/>
  <c r="G27" i="9"/>
  <c r="E27" i="9"/>
  <c r="H27" i="9"/>
  <c r="M23" i="9"/>
  <c r="J22" i="9"/>
  <c r="J23" i="9" s="1"/>
  <c r="P13" i="6"/>
  <c r="F22" i="9"/>
  <c r="L13" i="6"/>
  <c r="P22" i="9"/>
  <c r="P23" i="9" s="1"/>
  <c r="V13" i="6"/>
  <c r="G23" i="9"/>
  <c r="I25" i="3"/>
  <c r="H18" i="9"/>
  <c r="P18" i="9"/>
  <c r="E16" i="9"/>
  <c r="Q15" i="9"/>
  <c r="Q21" i="9"/>
  <c r="E11" i="9"/>
  <c r="Q10" i="9"/>
  <c r="F18" i="9"/>
  <c r="L7" i="9"/>
  <c r="E29" i="3"/>
  <c r="R25" i="3"/>
  <c r="P25" i="3"/>
  <c r="J25" i="3"/>
  <c r="K25" i="3"/>
  <c r="E28" i="3"/>
  <c r="M25" i="3"/>
  <c r="H25" i="3"/>
  <c r="Q25" i="3"/>
  <c r="L25" i="3"/>
  <c r="Q31" i="9" l="1"/>
  <c r="L18" i="9"/>
  <c r="T13" i="3"/>
  <c r="J18" i="9"/>
  <c r="Q9" i="9"/>
  <c r="Q11" i="9" s="1"/>
  <c r="G11" i="9"/>
  <c r="G16" i="9"/>
  <c r="Q14" i="9"/>
  <c r="Q16" i="9" s="1"/>
  <c r="I18" i="9"/>
  <c r="K18" i="9"/>
  <c r="O18" i="9"/>
  <c r="M18" i="9"/>
  <c r="Q27" i="9"/>
  <c r="O30" i="9"/>
  <c r="O32" i="9" s="1"/>
  <c r="J30" i="9"/>
  <c r="J32" i="9" s="1"/>
  <c r="P30" i="9"/>
  <c r="P32" i="9" s="1"/>
  <c r="P34" i="9" s="1"/>
  <c r="I30" i="9"/>
  <c r="I32" i="9" s="1"/>
  <c r="G30" i="9"/>
  <c r="G32" i="9" s="1"/>
  <c r="I14" i="7"/>
  <c r="K30" i="9"/>
  <c r="K32" i="9" s="1"/>
  <c r="F30" i="9"/>
  <c r="F32" i="9" s="1"/>
  <c r="L30" i="9"/>
  <c r="L32" i="9" s="1"/>
  <c r="N30" i="9"/>
  <c r="N32" i="9" s="1"/>
  <c r="N34" i="9" s="1"/>
  <c r="M30" i="9"/>
  <c r="M32" i="9" s="1"/>
  <c r="E30" i="9"/>
  <c r="E32" i="9" s="1"/>
  <c r="H30" i="9"/>
  <c r="H32" i="9" s="1"/>
  <c r="H34" i="9" s="1"/>
  <c r="Q22" i="9"/>
  <c r="Q23" i="9" s="1"/>
  <c r="F23" i="9"/>
  <c r="W13" i="6"/>
  <c r="T25" i="3"/>
  <c r="E30" i="3"/>
  <c r="F30" i="3" s="1"/>
  <c r="M7" i="9"/>
  <c r="E18" i="9"/>
  <c r="E34" i="9" s="1"/>
  <c r="F34" i="9" l="1"/>
  <c r="I34" i="9"/>
  <c r="M34" i="9"/>
  <c r="J34" i="9"/>
  <c r="O34" i="9"/>
  <c r="K34" i="9"/>
  <c r="L34" i="9"/>
  <c r="Q30" i="9"/>
  <c r="Q32" i="9" s="1"/>
  <c r="Q18" i="9"/>
  <c r="G18" i="9"/>
  <c r="G34" i="9" s="1"/>
  <c r="N7" i="9"/>
  <c r="Q34" i="9" l="1"/>
  <c r="O7" i="9"/>
  <c r="P7" i="9" l="1"/>
  <c r="N6" i="33"/>
  <c r="O6" i="33"/>
  <c r="D7" i="33"/>
  <c r="N7" i="33"/>
  <c r="O7" i="33"/>
  <c r="C8" i="33"/>
  <c r="C9" i="33"/>
  <c r="D9" i="33"/>
  <c r="N9" i="33"/>
  <c r="O9" i="33"/>
  <c r="Q10" i="33"/>
  <c r="N11" i="33"/>
  <c r="O11" i="33"/>
  <c r="C12" i="33"/>
  <c r="C13" i="33"/>
  <c r="C14" i="33"/>
  <c r="C18" i="33"/>
  <c r="Q20" i="33"/>
  <c r="C22" i="33"/>
  <c r="F31" i="33"/>
  <c r="G31" i="33"/>
  <c r="H31" i="33"/>
  <c r="I31" i="33"/>
  <c r="J31" i="33"/>
  <c r="K31" i="33"/>
  <c r="L31" i="33"/>
  <c r="M31" i="33"/>
  <c r="N31" i="33"/>
  <c r="O31" i="33"/>
  <c r="F33" i="33"/>
  <c r="G33" i="33"/>
  <c r="H33" i="33"/>
  <c r="I33" i="33"/>
  <c r="J33" i="33"/>
  <c r="K33" i="33"/>
  <c r="L33" i="33"/>
  <c r="M33" i="33"/>
  <c r="N33" i="33"/>
  <c r="O33" i="33"/>
  <c r="F35" i="33"/>
  <c r="G35" i="33"/>
  <c r="H35" i="33"/>
  <c r="I35" i="33"/>
  <c r="J35" i="33"/>
  <c r="K35" i="33"/>
  <c r="L35" i="33"/>
  <c r="M35" i="33"/>
  <c r="N35" i="33"/>
  <c r="O35" i="33"/>
  <c r="F36" i="33"/>
  <c r="G36" i="33" a="1"/>
  <c r="G36" i="33"/>
  <c r="H36" i="33" a="1"/>
  <c r="H36" i="33"/>
  <c r="I36" i="33" a="1"/>
  <c r="I36" i="33"/>
  <c r="J36" i="33" a="1"/>
  <c r="J36" i="33"/>
  <c r="K36" i="33" a="1"/>
  <c r="K36" i="33"/>
  <c r="L36" i="33" a="1"/>
  <c r="L36" i="33"/>
  <c r="M36" i="33" a="1"/>
  <c r="M36" i="33"/>
  <c r="N36" i="33" a="1"/>
  <c r="N36" i="33"/>
  <c r="O36" i="33" a="1"/>
  <c r="O36" i="33"/>
  <c r="F37" i="33"/>
  <c r="G37" i="33"/>
  <c r="H37" i="33"/>
  <c r="I37" i="33"/>
  <c r="J37" i="33"/>
  <c r="K37" i="33"/>
  <c r="L37" i="33"/>
  <c r="M37" i="33"/>
  <c r="N37" i="33"/>
  <c r="O37" i="33"/>
  <c r="F44" i="33"/>
  <c r="G44" i="33"/>
  <c r="H44" i="33"/>
  <c r="I44" i="33"/>
  <c r="J44" i="33"/>
  <c r="K44" i="33"/>
  <c r="L44" i="33"/>
  <c r="M44" i="33"/>
  <c r="N44" i="33"/>
  <c r="O44" i="33"/>
  <c r="F46" i="33"/>
  <c r="G46" i="33"/>
  <c r="H46" i="33"/>
  <c r="I46" i="33"/>
  <c r="J46" i="33"/>
  <c r="K46" i="33"/>
  <c r="L46" i="33"/>
  <c r="M46" i="33"/>
  <c r="N46" i="33"/>
  <c r="O46" i="33"/>
  <c r="C54" i="33"/>
  <c r="D54" i="33"/>
  <c r="E54" i="33"/>
  <c r="C55" i="33"/>
  <c r="D55" i="33"/>
  <c r="E55" i="33"/>
  <c r="C56" i="33"/>
  <c r="D56" i="33"/>
  <c r="E56" i="33"/>
  <c r="C57" i="33"/>
  <c r="D57" i="33"/>
  <c r="E57" i="33"/>
  <c r="C58" i="33"/>
  <c r="D58" i="33"/>
  <c r="E58" i="33"/>
  <c r="C59" i="33"/>
  <c r="D59" i="33"/>
  <c r="E59" i="33"/>
  <c r="C60" i="33"/>
  <c r="D60" i="33"/>
  <c r="E60" i="33"/>
  <c r="C61" i="33"/>
  <c r="D61" i="33"/>
  <c r="E61" i="33"/>
  <c r="C62" i="33"/>
  <c r="D62" i="33"/>
  <c r="E62" i="33"/>
  <c r="C63" i="33"/>
  <c r="D63" i="33"/>
  <c r="E63" i="33"/>
  <c r="E65" i="33"/>
  <c r="F65" i="33"/>
  <c r="G65" i="33"/>
  <c r="H65" i="33"/>
  <c r="I65" i="33"/>
  <c r="J65" i="33"/>
  <c r="K65" i="33"/>
  <c r="L65" i="33"/>
  <c r="M65" i="33"/>
  <c r="N65" i="33"/>
  <c r="O65" i="33"/>
  <c r="C70" i="33"/>
  <c r="D70" i="33"/>
  <c r="E70" i="33"/>
  <c r="F70" i="33"/>
  <c r="C71" i="33"/>
  <c r="D71" i="33"/>
  <c r="E71" i="33"/>
  <c r="F71" i="33"/>
  <c r="G71" i="33"/>
  <c r="C72" i="33"/>
  <c r="D72" i="33"/>
  <c r="E72" i="33"/>
  <c r="F72" i="33"/>
  <c r="G72" i="33"/>
  <c r="H72" i="33"/>
  <c r="C73" i="33"/>
  <c r="D73" i="33"/>
  <c r="E73" i="33"/>
  <c r="F73" i="33"/>
  <c r="G73" i="33"/>
  <c r="H73" i="33"/>
  <c r="I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K75" i="33"/>
  <c r="C76" i="33"/>
  <c r="D76" i="33"/>
  <c r="E76" i="33"/>
  <c r="F76" i="33"/>
  <c r="G76" i="33"/>
  <c r="H76" i="33"/>
  <c r="I76" i="33"/>
  <c r="J76" i="33"/>
  <c r="K76" i="33"/>
  <c r="L76" i="33"/>
  <c r="C77" i="33"/>
  <c r="D77" i="33"/>
  <c r="E77" i="33"/>
  <c r="F77" i="33"/>
  <c r="G77" i="33"/>
  <c r="H77" i="33"/>
  <c r="I77" i="33"/>
  <c r="J77" i="33"/>
  <c r="K77" i="33"/>
  <c r="L77" i="33"/>
  <c r="M77" i="33"/>
  <c r="C78" i="33"/>
  <c r="D78" i="33"/>
  <c r="E78" i="33"/>
  <c r="F78" i="33"/>
  <c r="G78" i="33"/>
  <c r="H78" i="33"/>
  <c r="I78" i="33"/>
  <c r="J78" i="33"/>
  <c r="K78" i="33"/>
  <c r="L78" i="33"/>
  <c r="M78" i="33"/>
  <c r="N78" i="33"/>
  <c r="C79" i="33"/>
  <c r="D79" i="33"/>
  <c r="E79" i="33"/>
  <c r="F79" i="33"/>
  <c r="G79" i="33"/>
  <c r="H79" i="33"/>
  <c r="I79" i="33"/>
  <c r="J79" i="33"/>
  <c r="K79" i="33"/>
  <c r="L79" i="33"/>
  <c r="M79" i="33"/>
  <c r="N79" i="33"/>
  <c r="O79" i="33"/>
  <c r="E81" i="33"/>
  <c r="F81" i="33"/>
  <c r="G81" i="33"/>
  <c r="H81" i="33"/>
  <c r="I81" i="33"/>
  <c r="J81" i="33"/>
  <c r="K81" i="33"/>
  <c r="L81" i="33"/>
  <c r="M81" i="33"/>
  <c r="N81" i="33"/>
  <c r="O81" i="33"/>
  <c r="C5" i="37"/>
  <c r="G9" i="37"/>
  <c r="H9" i="37"/>
  <c r="I9" i="37"/>
  <c r="J9" i="37"/>
  <c r="G10" i="37"/>
  <c r="H10" i="37"/>
  <c r="I10" i="37"/>
  <c r="J10" i="37"/>
  <c r="G11" i="37"/>
  <c r="H11" i="37"/>
  <c r="I11" i="37"/>
  <c r="J11" i="37"/>
  <c r="G12" i="37"/>
  <c r="H12" i="37"/>
  <c r="I12" i="37"/>
  <c r="J12" i="37"/>
  <c r="G13" i="37"/>
  <c r="H13" i="37"/>
  <c r="I13" i="37"/>
  <c r="J13" i="37"/>
  <c r="G14" i="37"/>
  <c r="H14" i="37"/>
  <c r="I14" i="37"/>
  <c r="J14" i="37"/>
  <c r="G15" i="37"/>
  <c r="H15" i="37"/>
  <c r="I15" i="37"/>
  <c r="J15" i="37"/>
  <c r="G16" i="37"/>
  <c r="H16" i="37"/>
  <c r="I16" i="37"/>
  <c r="J16" i="37"/>
  <c r="G17" i="37"/>
  <c r="H17" i="37"/>
  <c r="I17" i="37"/>
  <c r="J17" i="37"/>
  <c r="G18" i="37"/>
  <c r="H18" i="37"/>
  <c r="I18" i="37"/>
  <c r="J18" i="37"/>
  <c r="G19" i="37"/>
  <c r="H19" i="37"/>
  <c r="I19" i="37"/>
  <c r="J19" i="37"/>
  <c r="G20" i="37"/>
  <c r="H20" i="37"/>
  <c r="I20" i="37"/>
  <c r="J20" i="37"/>
  <c r="G21" i="37"/>
  <c r="H21" i="37"/>
  <c r="I21" i="37"/>
  <c r="J21" i="37"/>
  <c r="G22" i="37"/>
  <c r="H22" i="37"/>
  <c r="I22" i="37"/>
  <c r="J22" i="37"/>
  <c r="G23" i="37"/>
  <c r="H23" i="37"/>
  <c r="I23" i="37"/>
  <c r="J23" i="37"/>
  <c r="G24" i="37"/>
  <c r="H24" i="37"/>
  <c r="I24" i="37"/>
  <c r="J24" i="37"/>
  <c r="G25" i="37"/>
  <c r="H25" i="37"/>
  <c r="I25" i="37"/>
  <c r="J25" i="37"/>
  <c r="G26" i="37"/>
  <c r="H26" i="37"/>
  <c r="I26" i="37"/>
  <c r="J26" i="37"/>
  <c r="G27" i="37"/>
  <c r="H27" i="37"/>
  <c r="I27" i="37"/>
  <c r="J27" i="37"/>
  <c r="G28" i="37"/>
  <c r="H28" i="37"/>
  <c r="I28" i="37"/>
  <c r="J28" i="37"/>
  <c r="G29" i="37"/>
  <c r="H29" i="37"/>
  <c r="I29" i="37"/>
  <c r="J29" i="37"/>
  <c r="G30" i="37"/>
  <c r="H30" i="37"/>
  <c r="I30" i="37"/>
  <c r="J30" i="37"/>
  <c r="G31" i="37"/>
  <c r="H31" i="37"/>
  <c r="I31" i="37"/>
  <c r="J31" i="37"/>
  <c r="G32" i="37"/>
  <c r="H32" i="37"/>
  <c r="I32" i="37"/>
  <c r="J32" i="37"/>
  <c r="G33" i="37"/>
  <c r="H33" i="37"/>
  <c r="I33" i="37"/>
  <c r="J33" i="37"/>
  <c r="G34" i="37"/>
  <c r="H34" i="37"/>
  <c r="I34" i="37"/>
  <c r="J34" i="37"/>
  <c r="G35" i="37"/>
  <c r="H35" i="37"/>
  <c r="I35" i="37"/>
  <c r="J35" i="37"/>
  <c r="G36" i="37"/>
  <c r="H36" i="37"/>
  <c r="I36" i="37"/>
  <c r="J36" i="37"/>
  <c r="G37" i="37"/>
  <c r="H37" i="37"/>
  <c r="I37" i="37"/>
  <c r="J37" i="37"/>
  <c r="G38" i="37"/>
  <c r="H38" i="37"/>
  <c r="I38" i="37"/>
  <c r="J38" i="37"/>
  <c r="G39" i="37"/>
  <c r="H39" i="37"/>
  <c r="I39" i="37"/>
  <c r="J39" i="37"/>
  <c r="G40" i="37"/>
  <c r="H40" i="37"/>
  <c r="I40" i="37"/>
  <c r="J40" i="37"/>
  <c r="G41" i="37"/>
  <c r="H41" i="37"/>
  <c r="I41" i="37"/>
  <c r="J41" i="37"/>
  <c r="G42" i="37"/>
  <c r="H42" i="37"/>
  <c r="I42" i="37"/>
  <c r="J42" i="37"/>
  <c r="G43" i="37"/>
  <c r="H43" i="37"/>
  <c r="I43" i="37"/>
  <c r="J43" i="37"/>
  <c r="G44" i="37"/>
  <c r="H44" i="37"/>
  <c r="I44" i="37"/>
  <c r="J44" i="37"/>
  <c r="G45" i="37"/>
  <c r="H45" i="37"/>
  <c r="I45" i="37"/>
  <c r="J45" i="37"/>
  <c r="G46" i="37"/>
  <c r="H46" i="37"/>
  <c r="I46" i="37"/>
  <c r="J46" i="37"/>
  <c r="G47" i="37"/>
  <c r="H47" i="37"/>
  <c r="I47" i="37"/>
  <c r="J47" i="37"/>
  <c r="G48" i="37"/>
  <c r="H48" i="37"/>
  <c r="I48" i="37"/>
  <c r="J48" i="37"/>
  <c r="G49" i="37"/>
  <c r="H49" i="37"/>
  <c r="I49" i="37"/>
  <c r="J49" i="37"/>
  <c r="G50" i="37"/>
  <c r="H50" i="37"/>
  <c r="I50" i="37"/>
  <c r="J50" i="37"/>
  <c r="G51" i="37"/>
  <c r="H51" i="37"/>
  <c r="I51" i="37"/>
  <c r="J51" i="37"/>
  <c r="G52" i="37"/>
  <c r="H52" i="37"/>
  <c r="I52" i="37"/>
  <c r="J52" i="37"/>
  <c r="G53" i="37"/>
  <c r="H53" i="37"/>
  <c r="I53" i="37"/>
  <c r="J53" i="37"/>
  <c r="G54" i="37"/>
  <c r="H54" i="37"/>
  <c r="I54" i="37"/>
  <c r="J54" i="37"/>
  <c r="G55" i="37"/>
  <c r="H55" i="37"/>
  <c r="I55" i="37"/>
  <c r="J55" i="37"/>
  <c r="G56" i="37"/>
  <c r="H56" i="37"/>
  <c r="I56" i="37"/>
  <c r="J56" i="37"/>
  <c r="G57" i="37"/>
  <c r="H57" i="37"/>
  <c r="I57" i="37"/>
  <c r="J57" i="37"/>
  <c r="G58" i="37"/>
  <c r="H58" i="37"/>
  <c r="I58" i="37"/>
  <c r="J58" i="37"/>
  <c r="G59" i="37"/>
  <c r="H59" i="37"/>
  <c r="I59" i="37"/>
  <c r="J59" i="37"/>
  <c r="G60" i="37"/>
  <c r="H60" i="37"/>
  <c r="I60" i="37"/>
  <c r="J60" i="37"/>
  <c r="G61" i="37"/>
  <c r="H61" i="37"/>
  <c r="I61" i="37"/>
  <c r="J61" i="37"/>
  <c r="G62" i="37"/>
  <c r="H62" i="37"/>
  <c r="I62" i="37"/>
  <c r="J62" i="37"/>
  <c r="G63" i="37"/>
  <c r="H63" i="37"/>
  <c r="I63" i="37"/>
  <c r="J63" i="37"/>
  <c r="G64" i="37"/>
  <c r="H64" i="37"/>
  <c r="I64" i="37"/>
  <c r="J64" i="37"/>
  <c r="G65" i="37"/>
  <c r="H65" i="37"/>
  <c r="I65" i="37"/>
  <c r="J65" i="37"/>
  <c r="G66" i="37"/>
  <c r="H66" i="37"/>
  <c r="I66" i="37"/>
  <c r="J66" i="37"/>
  <c r="G67" i="37"/>
  <c r="H67" i="37"/>
  <c r="I67" i="37"/>
  <c r="J67" i="37"/>
  <c r="G68" i="37"/>
  <c r="H68" i="37"/>
  <c r="I68" i="37"/>
  <c r="J68" i="37"/>
  <c r="G69" i="37"/>
  <c r="H69" i="37"/>
  <c r="I69" i="37"/>
  <c r="J69" i="37"/>
  <c r="G70" i="37"/>
  <c r="H70" i="37"/>
  <c r="I70" i="37"/>
  <c r="J70" i="37"/>
  <c r="G71" i="37"/>
  <c r="H71" i="37"/>
  <c r="I71" i="37"/>
  <c r="J71" i="37"/>
  <c r="G72" i="37"/>
  <c r="H72" i="37"/>
  <c r="I72" i="37"/>
  <c r="J72" i="37"/>
  <c r="G73" i="37"/>
  <c r="H73" i="37"/>
  <c r="I73" i="37"/>
  <c r="J73" i="37"/>
  <c r="G74" i="37"/>
  <c r="H74" i="37"/>
  <c r="I74" i="37"/>
  <c r="J74" i="37"/>
  <c r="G75" i="37"/>
  <c r="H75" i="37"/>
  <c r="I75" i="37"/>
  <c r="J75" i="37"/>
  <c r="G76" i="37"/>
  <c r="H76" i="37"/>
  <c r="I76" i="37"/>
  <c r="J76" i="37"/>
  <c r="G77" i="37"/>
  <c r="H77" i="37"/>
  <c r="I77" i="37"/>
  <c r="J77" i="37"/>
  <c r="G78" i="37"/>
  <c r="H78" i="37"/>
  <c r="I78" i="37"/>
  <c r="J78" i="37"/>
  <c r="G79" i="37"/>
  <c r="H79" i="37"/>
  <c r="I79" i="37"/>
  <c r="J79" i="37"/>
  <c r="G80" i="37"/>
  <c r="H80" i="37"/>
  <c r="I80" i="37"/>
  <c r="J80" i="37"/>
  <c r="G81" i="37"/>
  <c r="H81" i="37"/>
  <c r="I81" i="37"/>
  <c r="J81" i="37"/>
  <c r="G82" i="37"/>
  <c r="H82" i="37"/>
  <c r="I82" i="37"/>
  <c r="J82" i="37"/>
  <c r="G83" i="37"/>
  <c r="H83" i="37"/>
  <c r="I83" i="37"/>
  <c r="J83" i="37"/>
  <c r="G84" i="37"/>
  <c r="H84" i="37"/>
  <c r="I84" i="37"/>
  <c r="J84" i="37"/>
  <c r="G85" i="37"/>
  <c r="H85" i="37"/>
  <c r="I85" i="37"/>
  <c r="J85" i="37"/>
  <c r="G86" i="37"/>
  <c r="H86" i="37"/>
  <c r="I86" i="37"/>
  <c r="J86" i="37"/>
  <c r="G87" i="37"/>
  <c r="H87" i="37"/>
  <c r="I87" i="37"/>
  <c r="J87" i="37"/>
  <c r="G88" i="37"/>
  <c r="H88" i="37"/>
  <c r="I88" i="37"/>
  <c r="J88" i="37"/>
  <c r="G89" i="37"/>
  <c r="H89" i="37"/>
  <c r="I89" i="37"/>
  <c r="J89" i="37"/>
  <c r="G90" i="37"/>
  <c r="H90" i="37"/>
  <c r="I90" i="37"/>
  <c r="J90" i="37"/>
  <c r="G91" i="37"/>
  <c r="H91" i="37"/>
  <c r="I91" i="37"/>
  <c r="J91" i="37"/>
  <c r="G92" i="37"/>
  <c r="H92" i="37"/>
  <c r="I92" i="37"/>
  <c r="J92" i="37"/>
  <c r="G93" i="37"/>
  <c r="H93" i="37"/>
  <c r="I93" i="37"/>
  <c r="J93" i="37"/>
  <c r="G94" i="37"/>
  <c r="H94" i="37"/>
  <c r="I94" i="37"/>
  <c r="J94" i="37"/>
  <c r="G95" i="37"/>
  <c r="H95" i="37"/>
  <c r="I95" i="37"/>
  <c r="J95" i="37"/>
  <c r="G96" i="37"/>
  <c r="H96" i="37"/>
  <c r="I96" i="37"/>
  <c r="J96" i="37"/>
  <c r="G97" i="37"/>
  <c r="H97" i="37"/>
  <c r="I97" i="37"/>
  <c r="J97" i="37"/>
  <c r="G98" i="37"/>
  <c r="H98" i="37"/>
  <c r="I98" i="37"/>
  <c r="J98" i="37"/>
  <c r="G99" i="37"/>
  <c r="H99" i="37"/>
  <c r="I99" i="37"/>
  <c r="J99" i="37"/>
  <c r="G100" i="37"/>
  <c r="H100" i="37"/>
  <c r="I100" i="37"/>
  <c r="J100" i="37"/>
  <c r="G101" i="37"/>
  <c r="H101" i="37"/>
  <c r="I101" i="37"/>
  <c r="J101" i="37"/>
  <c r="G102" i="37"/>
  <c r="H102" i="37"/>
  <c r="I102" i="37"/>
  <c r="J102" i="37"/>
  <c r="G103" i="37"/>
  <c r="H103" i="37"/>
  <c r="I103" i="37"/>
  <c r="J103" i="37"/>
  <c r="G104" i="37"/>
  <c r="H104" i="37"/>
  <c r="I104" i="37"/>
  <c r="J104" i="37"/>
  <c r="G105" i="37"/>
  <c r="H105" i="37"/>
  <c r="I105" i="37"/>
  <c r="J105" i="37"/>
  <c r="G106" i="37"/>
  <c r="H106" i="37"/>
  <c r="I106" i="37"/>
  <c r="J106" i="37"/>
  <c r="G107" i="37"/>
  <c r="H107" i="37"/>
  <c r="I107" i="37"/>
  <c r="J107" i="37"/>
  <c r="G108" i="37"/>
  <c r="H108" i="37"/>
  <c r="I108" i="37"/>
  <c r="J108" i="37"/>
  <c r="G109" i="37"/>
  <c r="H109" i="37"/>
  <c r="I109" i="37"/>
  <c r="J109" i="37"/>
  <c r="G110" i="37"/>
  <c r="H110" i="37"/>
  <c r="I110" i="37"/>
  <c r="J110" i="37"/>
  <c r="G111" i="37"/>
  <c r="H111" i="37"/>
  <c r="I111" i="37"/>
  <c r="J111" i="37"/>
  <c r="G112" i="37"/>
  <c r="H112" i="37"/>
  <c r="I112" i="37"/>
  <c r="J112" i="37"/>
  <c r="G113" i="37"/>
  <c r="H113" i="37"/>
  <c r="I113" i="37"/>
  <c r="J113" i="37"/>
  <c r="G114" i="37"/>
  <c r="H114" i="37"/>
  <c r="I114" i="37"/>
  <c r="J114" i="37"/>
  <c r="G115" i="37"/>
  <c r="H115" i="37"/>
  <c r="I115" i="37"/>
  <c r="J115" i="37"/>
  <c r="G116" i="37"/>
  <c r="H116" i="37"/>
  <c r="I116" i="37"/>
  <c r="J116" i="37"/>
  <c r="G117" i="37"/>
  <c r="H117" i="37"/>
  <c r="I117" i="37"/>
  <c r="J117" i="37"/>
  <c r="G118" i="37"/>
  <c r="H118" i="37"/>
  <c r="I118" i="37"/>
  <c r="J118" i="37"/>
  <c r="G119" i="37"/>
  <c r="H119" i="37"/>
  <c r="I119" i="37"/>
  <c r="J119" i="37"/>
  <c r="G120" i="37"/>
  <c r="H120" i="37"/>
  <c r="I120" i="37"/>
  <c r="J120" i="37"/>
  <c r="G121" i="37"/>
  <c r="H121" i="37"/>
  <c r="I121" i="37"/>
  <c r="J121" i="37"/>
  <c r="G122" i="37"/>
  <c r="H122" i="37"/>
  <c r="I122" i="37"/>
  <c r="J122" i="37"/>
  <c r="G123" i="37"/>
  <c r="H123" i="37"/>
  <c r="I123" i="37"/>
  <c r="J123" i="37"/>
  <c r="G124" i="37"/>
  <c r="H124" i="37"/>
  <c r="I124" i="37"/>
  <c r="J124" i="37"/>
  <c r="G125" i="37"/>
  <c r="H125" i="37"/>
  <c r="I125" i="37"/>
  <c r="J125" i="37"/>
  <c r="G126" i="37"/>
  <c r="H126" i="37"/>
  <c r="I126" i="37"/>
  <c r="J126" i="37"/>
  <c r="G127" i="37"/>
  <c r="H127" i="37"/>
  <c r="I127" i="37"/>
  <c r="J127" i="37"/>
  <c r="G128" i="37"/>
  <c r="H128" i="37"/>
  <c r="I128" i="37"/>
  <c r="J128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<sst xmlns="http://schemas.openxmlformats.org/spreadsheetml/2006/main" count="218" uniqueCount="141">
  <si>
    <t>Totals</t>
  </si>
  <si>
    <t>Price Per Unit</t>
  </si>
  <si>
    <t>Variable Cost Per Unit</t>
  </si>
  <si>
    <t>Variable Costs</t>
  </si>
  <si>
    <t>Gross Margin</t>
  </si>
  <si>
    <t>Projected Unit Sales</t>
  </si>
  <si>
    <t>Assumptions</t>
  </si>
  <si>
    <t>Projected Revenue</t>
  </si>
  <si>
    <t>Seasonality Factor</t>
  </si>
  <si>
    <t>Gross Margin Per Unit</t>
  </si>
  <si>
    <t>Products and Services</t>
  </si>
  <si>
    <t xml:space="preserve">          %</t>
  </si>
  <si>
    <t>Salaries and Wages</t>
  </si>
  <si>
    <t>Estimated Rate Per Hour</t>
  </si>
  <si>
    <t>Social Security</t>
  </si>
  <si>
    <t>Medicare</t>
  </si>
  <si>
    <t>Fixed Operating Expenses</t>
  </si>
  <si>
    <t>Expenses</t>
  </si>
  <si>
    <t>Advertising</t>
  </si>
  <si>
    <t>Insurance (Liability and Property)</t>
  </si>
  <si>
    <t>Total Expenses</t>
  </si>
  <si>
    <t>Total Fixed Operating Expenses</t>
  </si>
  <si>
    <t>Interest Rate</t>
  </si>
  <si>
    <t>Loan Balance</t>
  </si>
  <si>
    <t>Income</t>
  </si>
  <si>
    <t>Total Income</t>
  </si>
  <si>
    <t>Cost of Sales</t>
  </si>
  <si>
    <t>Total Cost of Sales</t>
  </si>
  <si>
    <t>Total Salary and Wages</t>
  </si>
  <si>
    <t>Taxes-Other</t>
  </si>
  <si>
    <t>Miscellaneous</t>
  </si>
  <si>
    <t>May</t>
  </si>
  <si>
    <t>Regular Lemonade</t>
  </si>
  <si>
    <t>Pink Lemonade</t>
  </si>
  <si>
    <t>Monthly Projection</t>
  </si>
  <si>
    <t xml:space="preserve">Payroll  </t>
  </si>
  <si>
    <t>Admin Expenses &amp; Supplies</t>
  </si>
  <si>
    <t>Net Cash Flow</t>
  </si>
  <si>
    <t>Rent</t>
  </si>
  <si>
    <t>Lucy's Lemonade Stand</t>
  </si>
  <si>
    <t>Principle PMT</t>
  </si>
  <si>
    <t>Interest PMT</t>
  </si>
  <si>
    <t>Projected Income Statement 2016</t>
  </si>
  <si>
    <t>Month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</si>
  <si>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</si>
  <si>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</si>
  <si>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</si>
  <si>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</si>
  <si>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</si>
  <si>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</si>
  <si>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</si>
  <si>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</si>
  <si>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</si>
  <si>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</si>
  <si>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</si>
  <si>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Annualized Projection</t>
  </si>
  <si>
    <t xml:space="preserve">Payroll Taxes </t>
  </si>
  <si>
    <t>Payroll Taxes</t>
  </si>
  <si>
    <t>Hours Worked</t>
  </si>
  <si>
    <t>Total Projected Payroll</t>
  </si>
  <si>
    <t>Payroll</t>
  </si>
  <si>
    <t>Salaries and Wages Assumptions</t>
  </si>
  <si>
    <t>Operating Expenses</t>
  </si>
  <si>
    <t>Total Operating Expenses</t>
  </si>
  <si>
    <t>Projected Sales 2016</t>
  </si>
  <si>
    <t>Projected Payroll 2016</t>
  </si>
  <si>
    <t>Projected Operating Expenses 2016</t>
  </si>
  <si>
    <t>Purpose of Financial Model</t>
  </si>
  <si>
    <t>Instructions</t>
  </si>
  <si>
    <t>Cell Identification</t>
  </si>
  <si>
    <t>Example</t>
  </si>
  <si>
    <t>Cells containing numbers in a black font are formula cells.</t>
  </si>
  <si>
    <t>Cells that are highlighted yellow and contain numbers in blue font are input cells.</t>
  </si>
  <si>
    <t>Cells that contain numbers in green font contain references to other worksheets.</t>
  </si>
  <si>
    <t>Loan Assumptions</t>
  </si>
  <si>
    <t>Return Summary</t>
  </si>
  <si>
    <t>Unlevered</t>
  </si>
  <si>
    <t>Levered</t>
  </si>
  <si>
    <t>Uses</t>
  </si>
  <si>
    <t>% Total</t>
  </si>
  <si>
    <t>Purchase Price</t>
  </si>
  <si>
    <t>Rate</t>
  </si>
  <si>
    <t>Closing/Financing</t>
  </si>
  <si>
    <t>Term</t>
  </si>
  <si>
    <t>Total Uses</t>
  </si>
  <si>
    <t>Annual Payment</t>
  </si>
  <si>
    <t>Sources</t>
  </si>
  <si>
    <t>Initial Loan</t>
  </si>
  <si>
    <t>Equity</t>
  </si>
  <si>
    <t>Total Sources</t>
  </si>
  <si>
    <t>Pro Forma Projections</t>
  </si>
  <si>
    <t>Net Operating Income</t>
  </si>
  <si>
    <t xml:space="preserve">  Debt Service</t>
  </si>
  <si>
    <t>DSCR</t>
  </si>
  <si>
    <t>Sale Price</t>
  </si>
  <si>
    <t>Less Closing</t>
  </si>
  <si>
    <t>Proceeds before Debt</t>
  </si>
  <si>
    <t>Debt Repayment</t>
  </si>
  <si>
    <t>Net Proceeds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</si>
  <si>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</si>
  <si>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</si>
  <si>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</si>
  <si>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</si>
  <si>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</si>
  <si>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</si>
  <si>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</si>
  <si>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</si>
  <si>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</si>
  <si>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</si>
  <si>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Unleveraged</t>
  </si>
  <si>
    <t>IRR</t>
  </si>
  <si>
    <t>Multiple</t>
  </si>
  <si>
    <t>Leveraged</t>
  </si>
  <si>
    <t>Loan Amount</t>
  </si>
  <si>
    <t>Year 11</t>
  </si>
  <si>
    <t>Exit Multiple</t>
  </si>
  <si>
    <t>Net Operating Income Growth</t>
  </si>
  <si>
    <t>Growth Rate</t>
  </si>
  <si>
    <t>Effective NOI</t>
  </si>
  <si>
    <t>Total PMT</t>
  </si>
  <si>
    <t>Loan Term</t>
  </si>
  <si>
    <t>Uses and Sources</t>
  </si>
  <si>
    <t>Investment Returns</t>
  </si>
  <si>
    <t>Year 6 IRR</t>
  </si>
  <si>
    <t>Year 6 PV Check</t>
  </si>
  <si>
    <t>Purchase Price and Interest Rate Sensitivity</t>
  </si>
  <si>
    <t>Purchase Price and LTV Sensitivity</t>
  </si>
  <si>
    <t>Acquisition Financing</t>
  </si>
  <si>
    <t>Acquisition Sensitivity Tables</t>
  </si>
  <si>
    <t>Acquisition Summary</t>
  </si>
  <si>
    <t>ROE</t>
  </si>
  <si>
    <t>Addl. Equity</t>
  </si>
  <si>
    <t>Unlevered Cumulative</t>
  </si>
  <si>
    <t>Levered Cumulative</t>
  </si>
  <si>
    <t>Peak Capital</t>
  </si>
  <si>
    <t>Year 6 Equity Multiple</t>
  </si>
  <si>
    <t>Worksheets with purple tabs contain financial summaries that automatically update.</t>
  </si>
  <si>
    <t>Worksheets with yellow tabs contain financial projections that require input from the user.</t>
  </si>
  <si>
    <t>This financial model is used to determine the value of a potential lemonade stand acquisition for Lucy.</t>
  </si>
  <si>
    <t>The model utilizes the sales and expense inputs received by the user to automatically consruct a projected Income Statement.</t>
  </si>
  <si>
    <t>The forecasted cash flows are used to determine a valuation of the acquisition target.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</si>
</sst>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6">
    <numFmt numFmtId="41" formatCode="_-* #,##0_-;\-* #,##0_-;_-* &quot;-&quot;_-;_-@_-"/>
    <numFmt numFmtId="43" formatCode="_-* #,##0.00_-;\-* #,##0.00_-;_-* &quot;-&quot;??_-;_-@_-"/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0.0%"/>
    <numFmt numFmtId="173" formatCode="_(&quot;$&quot;* #,##0_);_(&quot;$&quot;* \(#,##0\);_(&quot;$&quot;* &quot;-&quot;??_);_(@_)"/>
    <numFmt numFmtId="174" formatCode="_(* #,##0_);_(* \(#,##0\);_(* &quot;-&quot;??_);_(@_)"/>
    <numFmt numFmtId="175" formatCode="#,##0_);&quot;(&quot;#,##0&quot;)&quot;;&quot;-&quot;_)"/>
    <numFmt numFmtId="176" formatCode="0.0"/>
    <numFmt numFmtId="177" formatCode="0\ &quot;Years&quot;"/>
    <numFmt numFmtId="178" formatCode="&quot;Year&quot;\ 0"/>
    <numFmt numFmtId="179" formatCode="&quot;$&quot;#,##0"/>
    <numFmt numFmtId="180" formatCode="0.000%"/>
    <numFmt numFmtId="181" formatCode="0.0\ &quot;x&quot;"/>
    <numFmt numFmtId="182" formatCode="m/d/yyyy\ \ h:mm\ AM/PM"/>
    <numFmt numFmtId="183" formatCode="mm/yyyy"/>
    <numFmt numFmtId="184" formatCode="[&lt;=9999999]###\-####;\(###\)\ ###\-####"/>
    <numFmt numFmtId="185" formatCode="0.00_)"/>
    <numFmt numFmtId="186" formatCode="&quot;$&quot;#,##0.00"/>
    <numFmt numFmtId="187" formatCode="[$-409]_(m/d/yyyy_);_(@_)"/>
    <numFmt numFmtId="188" formatCode="[$-409]_(mmm\-yyyy_);_(@_)"/>
    <numFmt numFmtId="189" formatCode="[=1]#,##0&quot; Month&quot;;#,##0&quot; Months&quot;"/>
    <numFmt numFmtId="190" formatCode="[=1]#,##0&quot; Year&quot;;#,##0&quot; Years&quot;"/>
    <numFmt numFmtId="191" formatCode="[=1]_(&quot;IN&quot;_);[=0]_(&quot;OUT&quot;_)"/>
    <numFmt numFmtId="192" formatCode="_(&quot;Month &quot;#,##0_);_(&quot;Month &quot;\-#,##0_);_(&quot;Month &quot;#,##0_);_(@_)"/>
    <numFmt numFmtId="193" formatCode="_(* #,##0.0\x_);_(* \(#,##0.0\)\x_);_(* #,##0.0\x_);_(@_)"/>
    <numFmt numFmtId="194" formatCode="_(&quot;Quarter &quot;#,##0_);_(&quot;Quarter &quot;\-#,##0_);_(&quot;Quarter &quot;#,##0_);_(@_)"/>
    <numFmt numFmtId="195" formatCode="_(&quot;Year &quot;#,##0_);_(&quot;Year &quot;\-#,##0_);_(&quot;Year &quot;#,##0_);_(@_)"/>
    <numFmt numFmtId="196" formatCode="_(0000_);_(\(0000\);_(&quot;-&quot;_);_(@_)"/>
    <numFmt numFmtId="197" formatCode="[=1]_(&quot;YES&quot;_);[=0]_(&quot;NO&quot;_)"/>
    <numFmt numFmtId="198" formatCode="_(* #,##0.0_);_(* \(#,##0.0\);_(* &quot;-&quot;??_);_(@_)"/>
    <numFmt numFmtId="199" formatCode=";;;"/>
    <numFmt numFmtId="200" formatCode="#,##0.0_);\(#,##0.0\)"/>
    <numFmt numFmtId="201" formatCode="#,##0\ &quot;F&quot;;[Red]\-#,##0\ &quot;F&quot;"/>
    <numFmt numFmtId="202" formatCode="mmm\-yy_)"/>
    <numFmt numFmtId="203" formatCode="#,##0.00\ &quot;F&quot;;\-#,##0.00\ &quot;F&quot;"/>
    <numFmt numFmtId="204" formatCode="#,##0.00\ &quot;F&quot;;[Red]\-#,##0.00\ &quot;F&quot;"/>
    <numFmt numFmtId="205" formatCode="_-* #,##0\ &quot;F&quot;_-;\-* #,##0\ &quot;F&quot;_-;_-* &quot;-&quot;\ &quot;F&quot;_-;_-@_-"/>
    <numFmt numFmtId="206" formatCode="_-* #,##0\ _F_-;\-* #,##0\ _F_-;_-* &quot;-&quot;\ _F_-;_-@_-"/>
    <numFmt numFmtId="207" formatCode="mm/dd/yy_)"/>
    <numFmt numFmtId="208" formatCode="0.0\ &quot;Year&quot;"/>
    <numFmt numFmtId="209" formatCode="_(\£* #,##0_);_(\£* \(#,##0\);_(\£* &quot;-&quot;_);_(@_)"/>
    <numFmt numFmtId="210" formatCode="_(\£* #,##0.0_);_(\£* \(#,##0.0\);_(\£* &quot;-&quot;_);_(@_)"/>
    <numFmt numFmtId="211" formatCode="_(\£* #,##0.00_);_(\£* \(#,##0.00\);_(\£* &quot;-&quot;_);_(@_)"/>
    <numFmt numFmtId="212" formatCode="_(* #,##0\p_);_(* \(#,##0\p\);_(* &quot;-&quot;\ \p_);_(@_)"/>
    <numFmt numFmtId="213" formatCode="_(* #,##0.00\p_);_(* \(#,##0.00\p\);_(* &quot;-&quot;\ \p_);_(@_)"/>
    <numFmt numFmtId="214" formatCode="\£#,##0.00"/>
    <numFmt numFmtId="215" formatCode="0\ &quot;Year&quot;"/>
    <numFmt numFmtId="216" formatCode="#,##0;\(#,##0\)"/>
    <numFmt numFmtId="217" formatCode="\ \ \ @"/>
    <numFmt numFmtId="218" formatCode="\ \ \ \ \ \ @"/>
    <numFmt numFmtId="219" formatCode="\ \ \ \ \ \ \ \ \ @"/>
    <numFmt numFmtId="220" formatCode="\ \ \ \ \ \ \ \ \ \ \ \ @"/>
    <numFmt numFmtId="221" formatCode="\ \ \ \ \ \ \ \ \ \ \ \ \ \ \ @"/>
    <numFmt numFmtId="222" formatCode="\ \ \ \ \ \ \ \ \ \ \ \ \ \ \ \ \ \ @"/>
    <numFmt numFmtId="223" formatCode="General_)"/>
    <numFmt numFmtId="224" formatCode="\£#,##0_);\(\£#,##0\)"/>
    <numFmt numFmtId="225" formatCode="0.000\ &quot;Years     &quot;"/>
    <numFmt numFmtId="226" formatCode="0.00\ &quot;Years&quot;"/>
    <numFmt numFmtId="227" formatCode="0.0\ &quot;Years     &quot;"/>
    <numFmt numFmtId="228" formatCode="_ * #,##0.00_)_£_ ;_ * \(#,##0.00\)_£_ ;_ * &quot;-&quot;??_)_£_ ;_ @_ "/>
    <numFmt numFmtId="229" formatCode="#,##0\ &quot;F&quot;;\-#,##0\ &quot;F&quot;"/>
    <numFmt numFmtId="230" formatCode="0.000_)"/>
    <numFmt numFmtId="231" formatCode="_(* #,##0.0_);_(* \(#,##0.0\)"/>
    <numFmt numFmtId="232" formatCode="#,##0;&quot;\&quot;&quot;\&quot;&quot;\&quot;&quot;\&quot;\(#,##0&quot;\&quot;&quot;\&quot;&quot;\&quot;&quot;\&quot;\)"/>
    <numFmt numFmtId="233" formatCode="_(&quot;$&quot;* #,##0.0_);_(&quot;$&quot;* \(#,##0.0\)"/>
    <numFmt numFmtId="234" formatCode="&quot;$&quot;#,##0\ ;\(&quot;$&quot;#,##0\)"/>
    <numFmt numFmtId="235" formatCode="&quot;\&quot;&quot;\&quot;&quot;\&quot;&quot;\&quot;\$#,##0.00;&quot;\&quot;&quot;\&quot;&quot;\&quot;&quot;\&quot;\(&quot;\&quot;&quot;\&quot;&quot;\&quot;&quot;\&quot;\$#,##0.00&quot;\&quot;&quot;\&quot;&quot;\&quot;&quot;\&quot;\)"/>
    <numFmt numFmtId="236" formatCode="#.##\:\1"/>
    <numFmt numFmtId="237" formatCode="0.00\ &quot;Years     &quot;"/>
    <numFmt numFmtId="238" formatCode="_ * #,##0.00_ ;_ * \-#,##0.00_ ;_ * &quot;-&quot;??_ ;_ @_ "/>
    <numFmt numFmtId="239" formatCode="_([$€-2]* #,##0.00_);_([$€-2]* \(#,##0.00\);_([$€-2]* &quot;-&quot;??_)"/>
    <numFmt numFmtId="240" formatCode="\ \ \ \ \ @"/>
    <numFmt numFmtId="241" formatCode="_(* #,##0.0000_);_(* \(#,##0.0000\);_(* &quot;-&quot;??_);_(@_)"/>
    <numFmt numFmtId="242" formatCode="&quot;$&quot;#,##0.0_);\(&quot;$&quot;#,##0.0\)"/>
    <numFmt numFmtId="243" formatCode="0\ &quot;days&quot;"/>
    <numFmt numFmtId="244" formatCode="0\ &quot;Years     &quot;"/>
    <numFmt numFmtId="245" formatCode="_(&quot;$&quot;* #,##0.000_);_(&quot;$&quot;* \(#,##0.000\);_(&quot;$&quot;* &quot;-&quot;??_);_(@_)"/>
    <numFmt numFmtId="246" formatCode="_-* #,##0\ _D_M_-;\-* #,##0\ _D_M_-;_-* &quot;-&quot;\ _D_M_-;_-@_-"/>
    <numFmt numFmtId="247" formatCode="_-* #,##0.00\ _D_M_-;\-* #,##0.00\ _D_M_-;_-* &quot;-&quot;??\ _D_M_-;_-@_-"/>
    <numFmt numFmtId="248" formatCode="_-* #,##0\ &quot;DM&quot;_-;\-* #,##0\ &quot;DM&quot;_-;_-* &quot;-&quot;\ &quot;DM&quot;_-;_-@_-"/>
    <numFmt numFmtId="249" formatCode="_-* #,##0.00\ &quot;DM&quot;_-;\-* #,##0.00\ &quot;DM&quot;_-;_-* &quot;-&quot;??\ &quot;DM&quot;_-;_-@_-"/>
    <numFmt numFmtId="250" formatCode="_(* #,##0.00\ \x_);_(* \(#,##0.00\ \x\);_(* &quot;-&quot;??_);_(@_)"/>
    <numFmt numFmtId="251" formatCode="_(* #,##0.00\ ___);_(* \(#,##0.00\ __\);_(* &quot;-&quot;??_);_(@_)"/>
    <numFmt numFmtId="252" formatCode="_(* #,##0\ \x_);_(* \(#,##0\ \x\);_(* &quot;-&quot;??_);_(@_)"/>
    <numFmt numFmtId="253" formatCode="_(* #,##0\ ___);_(* \(#,##0\ __\);_(* &quot;-&quot;??_);_(@_)"/>
    <numFmt numFmtId="254" formatCode="_(* #,##0.0\ \x_);_(* \(#,##0.0\ \x\);_(* &quot;-&quot;??_);_(@_)"/>
    <numFmt numFmtId="255" formatCode="_(* #,##0.0\ ___);_(* \(#,##0.0\ __\);_(* &quot;-&quot;??_);_(@_)"/>
    <numFmt numFmtId="256" formatCode="#,##0.0\x_);\(#,##0.0\x\);#,##0.0\x_);@_)"/>
    <numFmt numFmtId="257" formatCode="#,##0.0000_);\(#,##0.0000\)"/>
    <numFmt numFmtId="258" formatCode="0.0000000%"/>
    <numFmt numFmtId="259" formatCode="_-* #,##0\ &quot;DM&quot;_-;\-* #,##0\ &quot;DM&quot;_-;_-* &quot;-&quot;??\ &quot;DM&quot;_-;_-@_-"/>
    <numFmt numFmtId="260" formatCode="#,##0.00000_);\(#,##0.00000\)"/>
    <numFmt numFmtId="261" formatCode="_-* #,##0.0_-;\-* #,##0.0_-;_-* &quot;-&quot;??_-;_-@_-"/>
    <numFmt numFmtId="262" formatCode="_(0.0%;_(* \(0.0\)%"/>
    <numFmt numFmtId="263" formatCode="0.0_%"/>
    <numFmt numFmtId="264" formatCode="#,##0.0\%_);\(#,##0.0\%\);#,##0.0\%_);@_)"/>
    <numFmt numFmtId="265" formatCode="[Blue]#,##0_);[Red]\(#,##0\)"/>
    <numFmt numFmtId="266" formatCode="#,###,;\(#,###,\)"/>
    <numFmt numFmtId="267" formatCode="_(#,##0_);_(\-#,##0_)"/>
    <numFmt numFmtId="268" formatCode="_(#,##0.00_);_(\-#,##0.00_)"/>
    <numFmt numFmtId="269" formatCode="_(#,##0.0_);_(\-#,##0.0_)"/>
    <numFmt numFmtId="270" formatCode="mmm\ yy"/>
    <numFmt numFmtId="271" formatCode="_(* #,##0_);_(* \(#,##0\)"/>
    <numFmt numFmtId="272" formatCode="00000"/>
    <numFmt numFmtId="273" formatCode="_(#,##0.000_);_(\-#,##0.000_)"/>
    <numFmt numFmtId="274" formatCode="_-&quot;£&quot;* #,##0_-;\-&quot;£&quot;* #,##0_-;_-&quot;£&quot;* &quot;-&quot;_-;_-@_-"/>
    <numFmt numFmtId="275" formatCode="_-&quot;£&quot;* #,##0.00_-;\-&quot;£&quot;* #,##0.00_-;_-&quot;£&quot;* &quot;-&quot;??_-;_-@_-"/>
    <numFmt numFmtId="276" formatCode="&quot;CY &quot;yyyy_)"/>
    <numFmt numFmtId="277" formatCode="\¥#,##0_);\(\¥#,##0\)"/>
  </numFmts>
  <fonts count="154">
    <font>
      <sz val="9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9"/>
      <color rgb="FF00B050"/>
      <name val="Arial"/>
      <family val="2"/>
    </font>
    <font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color indexed="8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rgb="FF0000FF"/>
      <name val="Arial"/>
      <family val="2"/>
    </font>
    <font>
      <sz val="11"/>
      <color indexed="8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i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u/>
      <sz val="10"/>
      <name val="Tahoma"/>
      <family val="2"/>
    </font>
    <font>
      <sz val="12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i/>
      <sz val="9"/>
      <name val="Tahoma"/>
      <family val="2"/>
    </font>
    <font>
      <sz val="12"/>
      <color indexed="10"/>
      <name val="Helv"/>
    </font>
    <font>
      <b/>
      <i/>
      <sz val="16"/>
      <name val="Helv"/>
    </font>
    <font>
      <sz val="11"/>
      <name val="Calibri"/>
      <family val="2"/>
    </font>
    <font>
      <sz val="9"/>
      <name val="Geneva"/>
      <family val="2"/>
    </font>
    <font>
      <sz val="10"/>
      <name val="Verdana"/>
      <family val="2"/>
    </font>
    <font>
      <i/>
      <sz val="11"/>
      <name val="Calibri"/>
      <family val="2"/>
      <scheme val="minor"/>
    </font>
    <font>
      <i/>
      <sz val="11"/>
      <name val="Calibri"/>
      <family val="2"/>
    </font>
    <font>
      <b/>
      <sz val="24"/>
      <name val="Calibri"/>
      <family val="2"/>
      <scheme val="minor"/>
    </font>
    <font>
      <sz val="12"/>
      <color indexed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1"/>
      <name val="‚l‚r ‚oƒSƒVƒbƒN"/>
      <family val="2"/>
      <charset val="128"/>
    </font>
    <font>
      <sz val="10"/>
      <name val="‚l‚r ‚oƒSƒVƒbƒN"/>
      <family val="3"/>
      <charset val="128"/>
    </font>
    <font>
      <b/>
      <sz val="11"/>
      <name val="Book Antiqua"/>
      <family val="1"/>
    </font>
    <font>
      <sz val="10"/>
      <name val="Courier"/>
      <family val="3"/>
    </font>
    <font>
      <b/>
      <sz val="10"/>
      <name val="Arial"/>
      <family val="2"/>
    </font>
    <font>
      <sz val="12"/>
      <name val="Arial"/>
      <family val="2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b/>
      <sz val="10"/>
      <name val="Times New Roman"/>
      <family val="1"/>
    </font>
    <font>
      <sz val="10"/>
      <color indexed="8"/>
      <name val="Tms Rmn"/>
    </font>
    <font>
      <sz val="10"/>
      <color indexed="12"/>
      <name val="Book Antiqua"/>
      <family val="1"/>
    </font>
    <font>
      <sz val="10"/>
      <color indexed="12"/>
      <name val="Times New Roman"/>
      <family val="1"/>
    </font>
    <font>
      <b/>
      <sz val="12"/>
      <name val="Arial MT"/>
    </font>
    <font>
      <sz val="8"/>
      <name val="Times New Roman"/>
      <family val="1"/>
    </font>
    <font>
      <sz val="10"/>
      <color indexed="8"/>
      <name val="Book Antiqua"/>
      <family val="1"/>
    </font>
    <font>
      <u val="singleAccounting"/>
      <sz val="10"/>
      <name val="Arial"/>
      <family val="2"/>
    </font>
    <font>
      <sz val="32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name val="Tms Rmn"/>
      <family val="1"/>
    </font>
    <font>
      <sz val="10"/>
      <name val="Garmond (W1)"/>
      <family val="1"/>
    </font>
    <font>
      <sz val="8"/>
      <color indexed="12"/>
      <name val="Times New Roman"/>
      <family val="1"/>
    </font>
    <font>
      <sz val="11"/>
      <name val="Book Antiqua"/>
      <family val="1"/>
    </font>
    <font>
      <sz val="10"/>
      <name val="Tms Rmn"/>
    </font>
    <font>
      <sz val="10"/>
      <color indexed="8"/>
      <name val="Arial"/>
      <family val="2"/>
    </font>
    <font>
      <sz val="12"/>
      <color indexed="8"/>
      <name val="Book Antiqua"/>
      <family val="1"/>
    </font>
    <font>
      <sz val="10"/>
      <name val="MS Sans Serif"/>
      <family val="2"/>
    </font>
    <font>
      <b/>
      <sz val="13"/>
      <color indexed="54"/>
      <name val="Arial"/>
      <family val="2"/>
    </font>
    <font>
      <sz val="10"/>
      <color indexed="8"/>
      <name val="Times New Roman"/>
      <family val="1"/>
    </font>
    <font>
      <sz val="10"/>
      <name val="GarmdITC Lt BT"/>
    </font>
    <font>
      <u val="doubleAccounting"/>
      <sz val="10"/>
      <name val="Arial"/>
      <family val="2"/>
    </font>
    <font>
      <i/>
      <sz val="10"/>
      <color indexed="12"/>
      <name val="Times New Roman"/>
      <family val="1"/>
    </font>
    <font>
      <sz val="10"/>
      <name val="Geneva"/>
    </font>
    <font>
      <sz val="12"/>
      <color indexed="9"/>
      <name val="Times New Roman"/>
      <family val="1"/>
    </font>
    <font>
      <sz val="32"/>
      <name val="Times New Roman"/>
      <family val="1"/>
    </font>
    <font>
      <sz val="24"/>
      <name val="Times New Roman"/>
      <family val="1"/>
    </font>
    <font>
      <sz val="18"/>
      <name val="Times New Roman"/>
      <family val="1"/>
    </font>
    <font>
      <sz val="9"/>
      <name val="Times New Roman"/>
      <family val="1"/>
    </font>
    <font>
      <b/>
      <i/>
      <sz val="22"/>
      <name val="Times New Roman"/>
      <family val="1"/>
    </font>
    <font>
      <sz val="24"/>
      <color indexed="8"/>
      <name val="Times New Roman"/>
      <family val="1"/>
    </font>
    <font>
      <b/>
      <u/>
      <sz val="8"/>
      <name val="Arial"/>
      <family val="2"/>
    </font>
    <font>
      <sz val="10"/>
      <color indexed="12"/>
      <name val="Arial"/>
      <family val="2"/>
    </font>
    <font>
      <b/>
      <sz val="22"/>
      <color indexed="18"/>
      <name val="Times New Roman"/>
      <family val="1"/>
    </font>
    <font>
      <sz val="10"/>
      <color indexed="8"/>
      <name val="MS Sans Serif"/>
      <family val="2"/>
    </font>
    <font>
      <sz val="18"/>
      <color indexed="8"/>
      <name val="Times New Roman"/>
      <family val="1"/>
    </font>
    <font>
      <sz val="8"/>
      <name val="Palatino"/>
      <family val="1"/>
    </font>
    <font>
      <sz val="7"/>
      <name val="Small Fonts"/>
      <family val="2"/>
    </font>
    <font>
      <sz val="8"/>
      <color indexed="8"/>
      <name val="MS Sans Serif"/>
      <family val="2"/>
    </font>
    <font>
      <sz val="10"/>
      <name val="Arial CE"/>
      <charset val="238"/>
    </font>
    <font>
      <i/>
      <sz val="12"/>
      <color indexed="8"/>
      <name val="Times New Roman"/>
      <family val="1"/>
    </font>
    <font>
      <i/>
      <sz val="10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0"/>
      <name val="MS Sans Serif"/>
      <family val="2"/>
    </font>
    <font>
      <b/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8"/>
      <name val="Univers (WN)"/>
    </font>
    <font>
      <b/>
      <sz val="6.5"/>
      <name val="MS Sans Serif"/>
      <family val="2"/>
    </font>
    <font>
      <sz val="10"/>
      <color indexed="12"/>
      <name val="TimesNewRomanPS"/>
    </font>
    <font>
      <sz val="10"/>
      <name val="TimesNewRomanPS"/>
    </font>
    <font>
      <sz val="9"/>
      <color indexed="8"/>
      <name val="Times New Roman"/>
      <family val="1"/>
    </font>
    <font>
      <b/>
      <sz val="14"/>
      <color indexed="12"/>
      <name val="Times New Roman"/>
      <family val="1"/>
    </font>
    <font>
      <sz val="10"/>
      <color indexed="9"/>
      <name val="Arial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</font>
    <font>
      <sz val="10"/>
      <name val="Palacio CS ATT"/>
    </font>
    <font>
      <b/>
      <sz val="11"/>
      <color indexed="9"/>
      <name val="Arial"/>
      <family val="2"/>
    </font>
    <font>
      <sz val="8"/>
      <name val="Wingdings"/>
      <charset val="2"/>
    </font>
    <font>
      <sz val="10"/>
      <color rgb="FF000000"/>
      <name val="Arial"/>
      <family val="2"/>
    </font>
    <font>
      <b/>
      <sz val="12"/>
      <color rgb="FF000000"/>
      <name val="Times New Roman"/>
      <family val="1"/>
    </font>
    <font>
      <b/>
      <sz val="12"/>
      <color indexed="60"/>
      <name val="Swis721 Cn BT"/>
      <family val="2"/>
    </font>
    <font>
      <sz val="7"/>
      <name val="Times New Roman"/>
      <family val="1"/>
    </font>
    <font>
      <b/>
      <sz val="11"/>
      <name val="Times New Roman"/>
      <family val="1"/>
    </font>
    <font>
      <b/>
      <sz val="24"/>
      <name val="Calibri"/>
      <family val="2"/>
    </font>
    <font>
      <b/>
      <sz val="10"/>
      <color indexed="8"/>
      <name val="Arial"/>
      <family val="2"/>
    </font>
    <font>
      <sz val="8"/>
      <color indexed="12"/>
      <name val="Arial"/>
      <family val="2"/>
    </font>
    <font>
      <sz val="9"/>
      <color indexed="12"/>
      <name val="Arial"/>
      <family val="2"/>
    </font>
    <font>
      <b/>
      <u/>
      <sz val="10"/>
      <name val="Times New Roman"/>
      <family val="1"/>
    </font>
    <font>
      <sz val="11"/>
      <name val="ZapfCalligr BT"/>
      <family val="1"/>
    </font>
    <font>
      <i/>
      <sz val="11"/>
      <name val="Arial"/>
      <family val="2"/>
    </font>
    <font>
      <u/>
      <sz val="11"/>
      <name val="Arial"/>
      <family val="2"/>
    </font>
    <font>
      <i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sz val="11"/>
      <color rgb="FF00B050"/>
      <name val="Arial"/>
      <family val="2"/>
    </font>
    <font>
      <b/>
      <sz val="11"/>
      <color rgb="FF00B05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Gray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gray0625">
        <fgColor indexed="10"/>
      </patternFill>
    </fill>
    <fill>
      <patternFill patternType="solid">
        <fgColor indexed="9"/>
      </patternFill>
    </fill>
    <fill>
      <patternFill patternType="solid">
        <fgColor indexed="63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55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22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hair">
        <color indexed="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/>
      <right/>
      <top style="double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</borders>
  <cellStyleXfs count="3197">
    <xf numFmtId="0" fontId="0" fillId="0" borderId="0"/>
    <xf numFmtId="171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71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0" fontId="35" fillId="9" borderId="0"/>
    <xf numFmtId="14" fontId="40" fillId="0" borderId="0"/>
    <xf numFmtId="0" fontId="39" fillId="10" borderId="0" applyNumberFormat="0">
      <alignment horizontal="center"/>
    </xf>
    <xf numFmtId="171" fontId="36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58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58" fillId="0" borderId="0" applyFont="0" applyFill="0" applyBorder="0" applyAlignment="0" applyProtection="0"/>
    <xf numFmtId="39" fontId="40" fillId="0" borderId="0">
      <alignment horizontal="right"/>
    </xf>
    <xf numFmtId="182" fontId="3" fillId="0" borderId="0" applyFill="0" applyProtection="0">
      <alignment vertical="center"/>
    </xf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72" fontId="40" fillId="0" borderId="0" applyBorder="0"/>
    <xf numFmtId="0" fontId="38" fillId="0" borderId="0">
      <alignment horizontal="left" indent="2"/>
    </xf>
    <xf numFmtId="38" fontId="6" fillId="11" borderId="0" applyNumberFormat="0" applyBorder="0" applyAlignment="0" applyProtection="0"/>
    <xf numFmtId="0" fontId="36" fillId="0" borderId="0"/>
    <xf numFmtId="0" fontId="41" fillId="0" borderId="0" applyNumberFormat="0" applyFill="0" applyBorder="0" applyAlignment="0" applyProtection="0">
      <alignment horizontal="left"/>
    </xf>
    <xf numFmtId="0" fontId="42" fillId="0" borderId="0" applyNumberFormat="0" applyFill="0" applyBorder="0" applyAlignment="0" applyProtection="0">
      <alignment horizontal="left"/>
    </xf>
    <xf numFmtId="0" fontId="44" fillId="0" borderId="0" applyNumberFormat="0" applyFill="0" applyBorder="0" applyAlignment="0" applyProtection="0">
      <alignment horizontal="left"/>
    </xf>
    <xf numFmtId="0" fontId="45" fillId="0" borderId="0" applyNumberFormat="0" applyFill="0" applyBorder="0" applyAlignment="0" applyProtection="0">
      <alignment horizontal="left"/>
    </xf>
    <xf numFmtId="0" fontId="46" fillId="0" borderId="0" applyNumberFormat="0" applyFill="0" applyAlignment="0" applyProtection="0">
      <alignment horizontal="left"/>
    </xf>
    <xf numFmtId="0" fontId="45" fillId="0" borderId="0" applyNumberFormat="0" applyFill="0" applyBorder="0" applyAlignment="0" applyProtection="0">
      <alignment horizontal="left"/>
    </xf>
    <xf numFmtId="0" fontId="46" fillId="0" borderId="0" applyNumberFormat="0" applyFill="0" applyBorder="0" applyAlignment="0" applyProtection="0">
      <alignment horizontal="left"/>
    </xf>
    <xf numFmtId="0" fontId="47" fillId="0" borderId="0" applyNumberFormat="0" applyFill="0" applyBorder="0" applyAlignment="0" applyProtection="0">
      <alignment horizontal="left"/>
    </xf>
    <xf numFmtId="0" fontId="48" fillId="0" borderId="0" applyNumberFormat="0" applyFill="0" applyBorder="0" applyAlignment="0" applyProtection="0">
      <alignment horizontal="left"/>
    </xf>
    <xf numFmtId="0" fontId="36" fillId="10" borderId="22" applyNumberFormat="0" applyFont="0" applyBorder="0" applyAlignment="0" applyProtection="0"/>
    <xf numFmtId="37" fontId="40" fillId="0" borderId="0" applyBorder="0"/>
    <xf numFmtId="10" fontId="6" fillId="12" borderId="9" applyNumberFormat="0" applyBorder="0" applyAlignment="0" applyProtection="0"/>
    <xf numFmtId="183" fontId="40" fillId="0" borderId="0"/>
    <xf numFmtId="185" fontId="56" fillId="0" borderId="0"/>
    <xf numFmtId="0" fontId="36" fillId="0" borderId="0"/>
    <xf numFmtId="0" fontId="21" fillId="0" borderId="0"/>
    <xf numFmtId="0" fontId="2" fillId="0" borderId="0"/>
    <xf numFmtId="0" fontId="59" fillId="0" borderId="0"/>
    <xf numFmtId="0" fontId="36" fillId="0" borderId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19" applyNumberFormat="0" applyFont="0" applyFill="0" applyAlignment="0" applyProtection="0"/>
    <xf numFmtId="184" fontId="40" fillId="0" borderId="2" applyBorder="0"/>
    <xf numFmtId="9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6" fillId="10" borderId="0" applyNumberFormat="0" applyBorder="0" applyProtection="0">
      <alignment horizontal="center"/>
    </xf>
    <xf numFmtId="0" fontId="49" fillId="0" borderId="0">
      <alignment horizontal="left"/>
    </xf>
    <xf numFmtId="0" fontId="39" fillId="0" borderId="0">
      <alignment horizontal="left" indent="1"/>
    </xf>
    <xf numFmtId="49" fontId="40" fillId="0" borderId="0"/>
    <xf numFmtId="18" fontId="40" fillId="0" borderId="0" applyFill="0" applyProtection="0">
      <alignment horizontal="center"/>
    </xf>
    <xf numFmtId="0" fontId="37" fillId="0" borderId="0">
      <alignment horizontal="center"/>
    </xf>
    <xf numFmtId="0" fontId="38" fillId="0" borderId="0">
      <alignment horizontal="center"/>
    </xf>
    <xf numFmtId="0" fontId="50" fillId="0" borderId="0" applyNumberFormat="0" applyFill="0" applyBorder="0" applyAlignment="0" applyProtection="0">
      <alignment horizontal="left"/>
    </xf>
    <xf numFmtId="0" fontId="43" fillId="0" borderId="0" applyNumberFormat="0" applyFill="0" applyBorder="0" applyAlignment="0" applyProtection="0">
      <alignment horizontal="left"/>
    </xf>
    <xf numFmtId="0" fontId="51" fillId="0" borderId="0" applyNumberFormat="0" applyFill="0" applyBorder="0" applyAlignment="0" applyProtection="0">
      <alignment horizontal="left"/>
    </xf>
    <xf numFmtId="0" fontId="52" fillId="0" borderId="0" applyNumberFormat="0" applyFill="0" applyBorder="0" applyAlignment="0" applyProtection="0">
      <alignment horizontal="left"/>
    </xf>
    <xf numFmtId="0" fontId="53" fillId="0" borderId="0" applyNumberFormat="0" applyFill="0" applyBorder="0" applyAlignment="0" applyProtection="0">
      <alignment horizontal="left"/>
    </xf>
    <xf numFmtId="0" fontId="52" fillId="0" borderId="0" applyNumberFormat="0" applyFill="0" applyBorder="0" applyAlignment="0" applyProtection="0">
      <alignment horizontal="left"/>
    </xf>
    <xf numFmtId="0" fontId="53" fillId="0" borderId="0" applyNumberFormat="0" applyFill="0" applyBorder="0" applyAlignment="0" applyProtection="0">
      <alignment horizontal="left"/>
    </xf>
    <xf numFmtId="0" fontId="54" fillId="0" borderId="0">
      <alignment horizontal="left"/>
    </xf>
    <xf numFmtId="0" fontId="40" fillId="0" borderId="0" applyNumberFormat="0" applyFill="0" applyBorder="0" applyAlignment="0" applyProtection="0">
      <alignment horizontal="left"/>
    </xf>
    <xf numFmtId="0" fontId="36" fillId="10" borderId="0" applyNumberFormat="0" applyFont="0" applyBorder="0" applyAlignment="0" applyProtection="0"/>
    <xf numFmtId="0" fontId="36" fillId="0" borderId="2" applyNumberFormat="0" applyFont="0" applyFill="0" applyAlignment="0" applyProtection="0"/>
    <xf numFmtId="0" fontId="36" fillId="0" borderId="2" applyNumberFormat="0" applyFont="0" applyFill="0" applyAlignment="0" applyProtection="0"/>
    <xf numFmtId="0" fontId="2" fillId="0" borderId="0"/>
    <xf numFmtId="171" fontId="2" fillId="0" borderId="0" applyFont="0" applyFill="0" applyBorder="0" applyAlignment="0" applyProtection="0"/>
    <xf numFmtId="170" fontId="36" fillId="0" borderId="0" applyFont="0" applyFill="0" applyBorder="0" applyAlignment="0" applyProtection="0"/>
    <xf numFmtId="0" fontId="36" fillId="9" borderId="0"/>
    <xf numFmtId="0" fontId="2" fillId="0" borderId="0"/>
    <xf numFmtId="170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0" fontId="62" fillId="0" borderId="3" applyNumberFormat="0" applyFill="0" applyAlignment="0" applyProtection="0"/>
    <xf numFmtId="0" fontId="60" fillId="0" borderId="0" applyNumberFormat="0" applyFill="0" applyProtection="0">
      <alignment horizontal="left" indent="1"/>
    </xf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91" fontId="20" fillId="0" borderId="0" applyFont="0" applyFill="0" applyBorder="0" applyAlignment="0" applyProtection="0">
      <protection locked="0"/>
    </xf>
    <xf numFmtId="0" fontId="20" fillId="0" borderId="24" applyNumberFormat="0" applyAlignment="0"/>
    <xf numFmtId="192" fontId="2" fillId="0" borderId="0" applyFont="0" applyFill="0" applyBorder="0" applyAlignment="0" applyProtection="0"/>
    <xf numFmtId="193" fontId="2" fillId="0" borderId="0" applyFont="0" applyFill="0" applyBorder="0" applyAlignment="0" applyProtection="0"/>
    <xf numFmtId="194" fontId="2" fillId="0" borderId="0" applyFont="0" applyFill="0" applyBorder="0" applyAlignment="0" applyProtection="0"/>
    <xf numFmtId="0" fontId="19" fillId="15" borderId="0" applyNumberFormat="0" applyBorder="0" applyAlignment="0" applyProtection="0"/>
    <xf numFmtId="0" fontId="23" fillId="14" borderId="0" applyNumberFormat="0" applyBorder="0" applyAlignment="0" applyProtection="0"/>
    <xf numFmtId="0" fontId="19" fillId="16" borderId="25" applyNumberFormat="0" applyBorder="0" applyAlignment="0" applyProtection="0"/>
    <xf numFmtId="0" fontId="23" fillId="17" borderId="25" applyNumberFormat="0" applyBorder="0" applyAlignment="0" applyProtection="0"/>
    <xf numFmtId="195" fontId="2" fillId="0" borderId="0" applyFont="0" applyFill="0" applyBorder="0" applyAlignment="0" applyProtection="0"/>
    <xf numFmtId="196" fontId="2" fillId="0" borderId="0" applyFont="0" applyFill="0" applyBorder="0" applyAlignment="0" applyProtection="0"/>
    <xf numFmtId="197" fontId="20" fillId="0" borderId="0" applyFont="0" applyFill="0" applyBorder="0" applyAlignment="0" applyProtection="0">
      <protection locked="0"/>
    </xf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36" fillId="0" borderId="21" applyNumberFormat="0" applyFont="0" applyFill="0" applyAlignment="0" applyProtection="0"/>
    <xf numFmtId="0" fontId="2" fillId="0" borderId="0"/>
    <xf numFmtId="0" fontId="36" fillId="0" borderId="0"/>
    <xf numFmtId="0" fontId="2" fillId="0" borderId="0"/>
    <xf numFmtId="0" fontId="36" fillId="0" borderId="21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2" applyNumberFormat="0" applyFont="0" applyFill="0" applyAlignment="0" applyProtection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171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1" fontId="21" fillId="0" borderId="0" applyFont="0" applyFill="0" applyBorder="0" applyAlignment="0" applyProtection="0"/>
    <xf numFmtId="10" fontId="63" fillId="0" borderId="0"/>
    <xf numFmtId="9" fontId="64" fillId="0" borderId="0"/>
    <xf numFmtId="172" fontId="64" fillId="0" borderId="0"/>
    <xf numFmtId="10" fontId="64" fillId="0" borderId="0"/>
    <xf numFmtId="199" fontId="65" fillId="0" borderId="0" applyFont="0" applyFill="0" applyBorder="0" applyAlignment="0"/>
    <xf numFmtId="168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/>
    <xf numFmtId="0" fontId="36" fillId="0" borderId="0" applyFont="0" applyFill="0" applyBorder="0" applyAlignment="0" applyProtection="0"/>
    <xf numFmtId="200" fontId="36" fillId="0" borderId="0" applyFont="0" applyFill="0" applyBorder="0" applyAlignment="0" applyProtection="0"/>
    <xf numFmtId="201" fontId="36" fillId="0" borderId="0" applyFont="0" applyFill="0" applyBorder="0" applyAlignment="0" applyProtection="0"/>
    <xf numFmtId="202" fontId="64" fillId="0" borderId="0" applyFont="0" applyFill="0" applyBorder="0" applyAlignment="0" applyProtection="0"/>
    <xf numFmtId="39" fontId="36" fillId="0" borderId="0" applyFont="0" applyFill="0" applyBorder="0" applyAlignment="0" applyProtection="0"/>
    <xf numFmtId="203" fontId="36" fillId="0" borderId="0" applyFont="0" applyFill="0" applyBorder="0" applyAlignment="0" applyProtection="0"/>
    <xf numFmtId="172" fontId="64" fillId="0" borderId="0" applyFont="0" applyFill="0" applyBorder="0" applyAlignment="0" applyProtection="0"/>
    <xf numFmtId="204" fontId="36" fillId="0" borderId="0" applyFont="0" applyFill="0" applyBorder="0" applyAlignment="0" applyProtection="0"/>
    <xf numFmtId="176" fontId="64" fillId="0" borderId="0" applyFont="0" applyFill="0" applyBorder="0" applyAlignment="0" applyProtection="0"/>
    <xf numFmtId="205" fontId="36" fillId="0" borderId="0" applyFont="0" applyFill="0" applyBorder="0" applyAlignment="0" applyProtection="0"/>
    <xf numFmtId="199" fontId="64" fillId="0" borderId="0" applyFont="0" applyFill="0" applyBorder="0" applyAlignment="0" applyProtection="0"/>
    <xf numFmtId="206" fontId="36" fillId="0" borderId="0" applyFont="0" applyFill="0" applyBorder="0" applyAlignment="0" applyProtection="0"/>
    <xf numFmtId="207" fontId="64" fillId="0" borderId="0" applyFont="0" applyFill="0" applyBorder="0" applyAlignment="0" applyProtection="0"/>
    <xf numFmtId="208" fontId="36" fillId="0" borderId="0" applyFont="0" applyFill="0" applyBorder="0" applyAlignment="0" applyProtection="0"/>
    <xf numFmtId="209" fontId="66" fillId="0" borderId="0" applyFont="0" applyFill="0" applyBorder="0" applyAlignment="0" applyProtection="0"/>
    <xf numFmtId="210" fontId="66" fillId="0" borderId="0" applyFont="0" applyFill="0" applyBorder="0" applyAlignment="0" applyProtection="0"/>
    <xf numFmtId="211" fontId="66" fillId="0" borderId="0" applyFont="0" applyFill="0" applyBorder="0" applyAlignment="0" applyProtection="0"/>
    <xf numFmtId="212" fontId="66" fillId="0" borderId="0" applyFont="0" applyFill="0" applyBorder="0" applyAlignment="0" applyProtection="0"/>
    <xf numFmtId="213" fontId="66" fillId="0" borderId="0" applyFont="0" applyFill="0" applyBorder="0" applyAlignment="0" applyProtection="0"/>
    <xf numFmtId="214" fontId="67" fillId="0" borderId="0" applyFont="0" applyFill="0" applyBorder="0" applyAlignment="0" applyProtection="0"/>
    <xf numFmtId="215" fontId="36" fillId="0" borderId="0" applyFont="0" applyFill="0" applyBorder="0" applyAlignment="0" applyProtection="0"/>
    <xf numFmtId="0" fontId="68" fillId="0" borderId="0"/>
    <xf numFmtId="0" fontId="69" fillId="0" borderId="0"/>
    <xf numFmtId="216" fontId="64" fillId="0" borderId="0"/>
    <xf numFmtId="0" fontId="70" fillId="0" borderId="27" applyFont="0" applyFill="0" applyBorder="0" applyAlignment="0" applyProtection="0"/>
    <xf numFmtId="217" fontId="36" fillId="0" borderId="7" applyBorder="0"/>
    <xf numFmtId="218" fontId="36" fillId="0" borderId="7" applyBorder="0"/>
    <xf numFmtId="219" fontId="36" fillId="0" borderId="7"/>
    <xf numFmtId="220" fontId="36" fillId="0" borderId="7"/>
    <xf numFmtId="221" fontId="36" fillId="0" borderId="7"/>
    <xf numFmtId="222" fontId="36" fillId="0" borderId="7"/>
    <xf numFmtId="0" fontId="71" fillId="0" borderId="0"/>
    <xf numFmtId="0" fontId="6" fillId="0" borderId="0" applyNumberFormat="0" applyAlignment="0"/>
    <xf numFmtId="0" fontId="72" fillId="10" borderId="28">
      <alignment horizontal="center" vertical="center"/>
    </xf>
    <xf numFmtId="0" fontId="72" fillId="10" borderId="28">
      <alignment horizontal="center" vertical="center"/>
    </xf>
    <xf numFmtId="0" fontId="36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3" applyFont="0">
      <alignment horizontal="centerContinuous"/>
    </xf>
    <xf numFmtId="0" fontId="75" fillId="0" borderId="0"/>
    <xf numFmtId="9" fontId="63" fillId="0" borderId="0"/>
    <xf numFmtId="0" fontId="63" fillId="0" borderId="0"/>
    <xf numFmtId="0" fontId="63" fillId="0" borderId="0"/>
    <xf numFmtId="0" fontId="75" fillId="0" borderId="0"/>
    <xf numFmtId="223" fontId="76" fillId="0" borderId="0" applyNumberFormat="0" applyFont="0" applyAlignment="0">
      <alignment horizontal="left" indent="1"/>
    </xf>
    <xf numFmtId="0" fontId="75" fillId="0" borderId="0"/>
    <xf numFmtId="223" fontId="76" fillId="0" borderId="0" applyNumberFormat="0" applyFont="0" applyAlignment="0">
      <alignment horizontal="left" indent="1"/>
    </xf>
    <xf numFmtId="0" fontId="75" fillId="0" borderId="0"/>
    <xf numFmtId="223" fontId="76" fillId="0" borderId="0" applyNumberFormat="0" applyFont="0" applyAlignment="0">
      <alignment horizontal="left" indent="1"/>
    </xf>
    <xf numFmtId="223" fontId="76" fillId="0" borderId="0" applyNumberFormat="0" applyFont="0" applyAlignment="0">
      <alignment horizontal="left" indent="1"/>
    </xf>
    <xf numFmtId="223" fontId="76" fillId="0" borderId="0" applyNumberFormat="0" applyFont="0" applyAlignment="0">
      <alignment horizontal="left" indent="1"/>
    </xf>
    <xf numFmtId="0" fontId="75" fillId="0" borderId="0"/>
    <xf numFmtId="223" fontId="76" fillId="0" borderId="0" applyNumberFormat="0" applyFont="0" applyAlignment="0">
      <alignment horizontal="left" indent="1"/>
    </xf>
    <xf numFmtId="0" fontId="75" fillId="0" borderId="0"/>
    <xf numFmtId="0" fontId="75" fillId="0" borderId="0"/>
    <xf numFmtId="0" fontId="75" fillId="0" borderId="0"/>
    <xf numFmtId="0" fontId="63" fillId="0" borderId="0"/>
    <xf numFmtId="0" fontId="63" fillId="0" borderId="0"/>
    <xf numFmtId="0" fontId="36" fillId="0" borderId="0"/>
    <xf numFmtId="0" fontId="64" fillId="0" borderId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66" fontId="79" fillId="0" borderId="0">
      <alignment horizontal="right"/>
      <protection locked="0"/>
    </xf>
    <xf numFmtId="0" fontId="64" fillId="0" borderId="0"/>
    <xf numFmtId="0" fontId="80" fillId="0" borderId="27"/>
    <xf numFmtId="0" fontId="74" fillId="0" borderId="3" applyNumberFormat="0" applyFill="0" applyAlignment="0" applyProtection="0"/>
    <xf numFmtId="0" fontId="74" fillId="0" borderId="3" applyNumberFormat="0" applyFill="0" applyAlignment="0" applyProtection="0"/>
    <xf numFmtId="0" fontId="81" fillId="0" borderId="2" applyNumberFormat="0" applyFont="0" applyFill="0" applyAlignment="0" applyProtection="0"/>
    <xf numFmtId="223" fontId="65" fillId="0" borderId="29" applyNumberFormat="0" applyFont="0" applyAlignment="0" applyProtection="0"/>
    <xf numFmtId="0" fontId="82" fillId="0" borderId="3" applyNumberFormat="0" applyFont="0" applyFill="0" applyAlignment="0" applyProtection="0"/>
    <xf numFmtId="0" fontId="82" fillId="0" borderId="3" applyNumberFormat="0" applyFont="0" applyFill="0" applyAlignment="0" applyProtection="0"/>
    <xf numFmtId="0" fontId="71" fillId="0" borderId="27"/>
    <xf numFmtId="0" fontId="75" fillId="0" borderId="13"/>
    <xf numFmtId="0" fontId="75" fillId="0" borderId="13"/>
    <xf numFmtId="224" fontId="83" fillId="0" borderId="0" applyFont="0" applyFill="0" applyBorder="0" applyAlignment="0" applyProtection="0"/>
    <xf numFmtId="0" fontId="64" fillId="0" borderId="3">
      <alignment horizontal="centerContinuous"/>
    </xf>
    <xf numFmtId="0" fontId="64" fillId="0" borderId="3">
      <alignment horizontal="centerContinuous"/>
    </xf>
    <xf numFmtId="0" fontId="84" fillId="0" borderId="2" applyBorder="0">
      <alignment horizontal="centerContinuous"/>
    </xf>
    <xf numFmtId="225" fontId="36" fillId="0" borderId="0" applyFont="0" applyFill="0" applyBorder="0" applyAlignment="0" applyProtection="0"/>
    <xf numFmtId="0" fontId="63" fillId="0" borderId="0"/>
    <xf numFmtId="0" fontId="63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63" fillId="0" borderId="0"/>
    <xf numFmtId="171" fontId="75" fillId="0" borderId="0">
      <alignment horizontal="right"/>
    </xf>
    <xf numFmtId="171" fontId="75" fillId="0" borderId="0">
      <alignment horizontal="right"/>
    </xf>
    <xf numFmtId="171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0" fontId="75" fillId="0" borderId="0">
      <alignment horizontal="right"/>
    </xf>
    <xf numFmtId="226" fontId="36" fillId="0" borderId="0">
      <alignment horizontal="right"/>
    </xf>
    <xf numFmtId="171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0" fontId="75" fillId="0" borderId="0">
      <alignment horizontal="right"/>
    </xf>
    <xf numFmtId="226" fontId="36" fillId="0" borderId="0">
      <alignment horizontal="right"/>
    </xf>
    <xf numFmtId="171" fontId="75" fillId="0" borderId="0">
      <alignment horizontal="right"/>
    </xf>
    <xf numFmtId="171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0" fontId="75" fillId="0" borderId="0">
      <alignment horizontal="right"/>
    </xf>
    <xf numFmtId="226" fontId="36" fillId="0" borderId="0">
      <alignment horizontal="right"/>
    </xf>
    <xf numFmtId="37" fontId="64" fillId="0" borderId="0">
      <alignment horizontal="center"/>
    </xf>
    <xf numFmtId="227" fontId="36" fillId="0" borderId="0"/>
    <xf numFmtId="201" fontId="36" fillId="0" borderId="0" applyFill="0" applyBorder="0" applyAlignment="0"/>
    <xf numFmtId="201" fontId="36" fillId="0" borderId="0" applyFill="0" applyBorder="0" applyAlignment="0"/>
    <xf numFmtId="228" fontId="36" fillId="0" borderId="0" applyFill="0" applyBorder="0" applyAlignment="0"/>
    <xf numFmtId="229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185" fontId="6" fillId="18" borderId="0" applyNumberFormat="0" applyFont="0" applyBorder="0" applyAlignment="0">
      <protection locked="0"/>
    </xf>
    <xf numFmtId="0" fontId="74" fillId="0" borderId="3">
      <alignment horizontal="center"/>
    </xf>
    <xf numFmtId="0" fontId="74" fillId="0" borderId="3">
      <alignment horizontal="center"/>
    </xf>
    <xf numFmtId="174" fontId="64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230" fontId="86" fillId="0" borderId="0"/>
    <xf numFmtId="0" fontId="55" fillId="0" borderId="0"/>
    <xf numFmtId="230" fontId="86" fillId="0" borderId="0"/>
    <xf numFmtId="40" fontId="28" fillId="0" borderId="0" applyFont="0"/>
    <xf numFmtId="174" fontId="87" fillId="0" borderId="30"/>
    <xf numFmtId="174" fontId="87" fillId="0" borderId="30"/>
    <xf numFmtId="201" fontId="36" fillId="0" borderId="0" applyFont="0" applyFill="0" applyBorder="0" applyAlignment="0" applyProtection="0"/>
    <xf numFmtId="231" fontId="88" fillId="0" borderId="0" applyFont="0" applyFill="0" applyBorder="0" applyAlignment="0" applyProtection="0"/>
    <xf numFmtId="40" fontId="89" fillId="0" borderId="0" applyFont="0" applyFill="0" applyBorder="0" applyAlignment="0" applyProtection="0"/>
    <xf numFmtId="3" fontId="90" fillId="0" borderId="0" applyFont="0" applyFill="0" applyBorder="0" applyAlignment="0" applyProtection="0"/>
    <xf numFmtId="4" fontId="90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58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171" fontId="36" fillId="0" borderId="0" applyFont="0" applyFill="0" applyBorder="0" applyAlignment="0" applyProtection="0"/>
    <xf numFmtId="232" fontId="65" fillId="0" borderId="0"/>
    <xf numFmtId="3" fontId="91" fillId="0" borderId="0" applyFont="0" applyFill="0" applyBorder="0" applyAlignment="0" applyProtection="0"/>
    <xf numFmtId="167" fontId="36" fillId="0" borderId="0">
      <protection locked="0"/>
    </xf>
    <xf numFmtId="201" fontId="36" fillId="0" borderId="0" applyFont="0" applyFill="0" applyBorder="0" applyAlignment="0" applyProtection="0"/>
    <xf numFmtId="233" fontId="66" fillId="0" borderId="0" applyFont="0" applyFill="0" applyBorder="0" applyAlignment="0" applyProtection="0"/>
    <xf numFmtId="0" fontId="92" fillId="0" borderId="0" applyFont="0" applyFill="0" applyBorder="0" applyAlignment="0" applyProtection="0"/>
    <xf numFmtId="165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58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58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59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21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173" fontId="87" fillId="0" borderId="30"/>
    <xf numFmtId="173" fontId="87" fillId="0" borderId="30"/>
    <xf numFmtId="234" fontId="91" fillId="0" borderId="0" applyFont="0" applyFill="0" applyBorder="0" applyAlignment="0" applyProtection="0"/>
    <xf numFmtId="235" fontId="65" fillId="0" borderId="0"/>
    <xf numFmtId="198" fontId="63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198" fontId="63" fillId="0" borderId="0">
      <alignment horizontal="right"/>
    </xf>
    <xf numFmtId="198" fontId="63" fillId="0" borderId="0">
      <alignment horizontal="right"/>
    </xf>
    <xf numFmtId="198" fontId="63" fillId="0" borderId="0">
      <alignment horizontal="right"/>
    </xf>
    <xf numFmtId="198" fontId="63" fillId="0" borderId="0">
      <alignment horizontal="right"/>
    </xf>
    <xf numFmtId="198" fontId="63" fillId="0" borderId="0">
      <alignment horizontal="right"/>
    </xf>
    <xf numFmtId="198" fontId="63" fillId="0" borderId="0">
      <alignment horizontal="right"/>
    </xf>
    <xf numFmtId="198" fontId="63" fillId="0" borderId="0">
      <alignment horizontal="right"/>
    </xf>
    <xf numFmtId="236" fontId="90" fillId="0" borderId="0" applyFont="0" applyFill="0" applyBorder="0" applyAlignment="0" applyProtection="0"/>
    <xf numFmtId="237" fontId="36" fillId="0" borderId="0" applyFont="0" applyFill="0" applyBorder="0" applyAlignment="0" applyProtection="0"/>
    <xf numFmtId="0" fontId="9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4" fontId="91" fillId="0" borderId="0" applyFill="0" applyBorder="0" applyAlignment="0"/>
    <xf numFmtId="0" fontId="36" fillId="0" borderId="0">
      <protection locked="0"/>
    </xf>
    <xf numFmtId="37" fontId="63" fillId="0" borderId="0" applyProtection="0">
      <protection locked="0"/>
    </xf>
    <xf numFmtId="38" fontId="93" fillId="0" borderId="31">
      <alignment vertical="center"/>
    </xf>
    <xf numFmtId="37" fontId="71" fillId="0" borderId="32"/>
    <xf numFmtId="37" fontId="71" fillId="0" borderId="32"/>
    <xf numFmtId="238" fontId="36" fillId="0" borderId="0" applyFont="0" applyFill="0" applyBorder="0" applyAlignment="0" applyProtection="0"/>
    <xf numFmtId="3" fontId="94" fillId="0" borderId="0">
      <alignment horizontal="left"/>
    </xf>
    <xf numFmtId="164" fontId="95" fillId="0" borderId="0"/>
    <xf numFmtId="0" fontId="65" fillId="0" borderId="0"/>
    <xf numFmtId="186" fontId="67" fillId="0" borderId="0" applyFont="0" applyFill="0" applyBorder="0" applyAlignment="0" applyProtection="0"/>
    <xf numFmtId="4" fontId="64" fillId="0" borderId="0" applyFont="0" applyFill="0" applyBorder="0" applyAlignment="0" applyProtection="0"/>
    <xf numFmtId="0" fontId="96" fillId="0" borderId="3" applyNumberFormat="0" applyFont="0" applyAlignment="0" applyProtection="0">
      <protection locked="0"/>
    </xf>
    <xf numFmtId="0" fontId="96" fillId="0" borderId="3" applyNumberFormat="0" applyFont="0" applyAlignment="0" applyProtection="0">
      <protection locked="0"/>
    </xf>
    <xf numFmtId="168" fontId="97" fillId="0" borderId="0" applyFill="0" applyBorder="0" applyAlignment="0" applyProtection="0"/>
    <xf numFmtId="172" fontId="98" fillId="0" borderId="0">
      <alignment horizontal="right"/>
    </xf>
    <xf numFmtId="198" fontId="63" fillId="0" borderId="13">
      <alignment horizontal="right"/>
    </xf>
    <xf numFmtId="198" fontId="63" fillId="0" borderId="13">
      <alignment horizontal="right"/>
    </xf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1" fillId="0" borderId="0" applyFont="0" applyFill="0" applyBorder="0" applyAlignment="0" applyProtection="0"/>
    <xf numFmtId="189" fontId="2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1" fillId="0" borderId="0" applyFont="0" applyFill="0" applyBorder="0" applyAlignment="0" applyProtection="0"/>
    <xf numFmtId="190" fontId="2" fillId="0" borderId="0" applyFont="0" applyFill="0" applyBorder="0" applyAlignment="0" applyProtection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39" fontId="36" fillId="0" borderId="0" applyFont="0" applyFill="0" applyBorder="0" applyAlignment="0" applyProtection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98" fontId="75" fillId="0" borderId="0">
      <alignment horizontal="right"/>
    </xf>
    <xf numFmtId="174" fontId="75" fillId="0" borderId="0">
      <alignment horizontal="right"/>
    </xf>
    <xf numFmtId="165" fontId="3" fillId="0" borderId="0"/>
    <xf numFmtId="1" fontId="90" fillId="0" borderId="0" applyFont="0" applyFill="0" applyBorder="0" applyAlignment="0" applyProtection="0"/>
    <xf numFmtId="176" fontId="90" fillId="0" borderId="0" applyFont="0" applyFill="0" applyBorder="0" applyAlignment="0" applyProtection="0"/>
    <xf numFmtId="2" fontId="90" fillId="0" borderId="0" applyFont="0" applyFill="0" applyBorder="0" applyAlignment="0" applyProtection="0"/>
    <xf numFmtId="2" fontId="91" fillId="0" borderId="0" applyFont="0" applyFill="0" applyBorder="0" applyAlignment="0" applyProtection="0"/>
    <xf numFmtId="0" fontId="75" fillId="0" borderId="0" applyProtection="0">
      <alignment horizontal="left"/>
    </xf>
    <xf numFmtId="240" fontId="65" fillId="0" borderId="0"/>
    <xf numFmtId="0" fontId="99" fillId="0" borderId="0"/>
    <xf numFmtId="0" fontId="100" fillId="0" borderId="0" applyNumberFormat="0" applyFill="0" applyProtection="0">
      <alignment horizontal="left"/>
    </xf>
    <xf numFmtId="0" fontId="64" fillId="19" borderId="0"/>
    <xf numFmtId="227" fontId="36" fillId="0" borderId="0"/>
    <xf numFmtId="227" fontId="36" fillId="0" borderId="0"/>
    <xf numFmtId="227" fontId="36" fillId="0" borderId="0"/>
    <xf numFmtId="227" fontId="36" fillId="0" borderId="0"/>
    <xf numFmtId="0" fontId="101" fillId="0" borderId="2">
      <alignment horizontal="centerContinuous"/>
    </xf>
    <xf numFmtId="0" fontId="102" fillId="0" borderId="0">
      <alignment horizontal="centerContinuous"/>
    </xf>
    <xf numFmtId="0" fontId="103" fillId="0" borderId="0" applyFont="0">
      <alignment horizontal="centerContinuous"/>
    </xf>
    <xf numFmtId="0" fontId="72" fillId="0" borderId="0" applyFont="0" applyAlignment="0"/>
    <xf numFmtId="0" fontId="4" fillId="0" borderId="17" applyNumberFormat="0" applyAlignment="0" applyProtection="0">
      <alignment horizontal="left" vertical="center"/>
    </xf>
    <xf numFmtId="0" fontId="4" fillId="0" borderId="6">
      <alignment horizontal="left" vertical="center"/>
    </xf>
    <xf numFmtId="0" fontId="4" fillId="0" borderId="6">
      <alignment horizontal="left" vertical="center"/>
    </xf>
    <xf numFmtId="0" fontId="4" fillId="0" borderId="6">
      <alignment horizontal="left" vertical="center"/>
    </xf>
    <xf numFmtId="0" fontId="72" fillId="0" borderId="0"/>
    <xf numFmtId="0" fontId="61" fillId="0" borderId="0" applyNumberFormat="0" applyFill="0" applyProtection="0">
      <alignment horizontal="left" indent="1"/>
    </xf>
    <xf numFmtId="0" fontId="61" fillId="0" borderId="0" applyNumberFormat="0" applyFill="0" applyProtection="0">
      <alignment horizontal="left" indent="1"/>
    </xf>
    <xf numFmtId="0" fontId="61" fillId="0" borderId="0" applyNumberFormat="0" applyFill="0" applyProtection="0">
      <alignment horizontal="left" indent="1"/>
    </xf>
    <xf numFmtId="0" fontId="60" fillId="0" borderId="0" applyNumberFormat="0" applyFill="0" applyProtection="0">
      <alignment horizontal="left" indent="1"/>
    </xf>
    <xf numFmtId="180" fontId="36" fillId="0" borderId="0">
      <protection locked="0"/>
    </xf>
    <xf numFmtId="180" fontId="36" fillId="0" borderId="0">
      <protection locked="0"/>
    </xf>
    <xf numFmtId="0" fontId="104" fillId="0" borderId="0"/>
    <xf numFmtId="0" fontId="105" fillId="0" borderId="1" applyNumberFormat="0" applyFill="0" applyBorder="0" applyAlignment="0" applyProtection="0">
      <alignment horizontal="left"/>
    </xf>
    <xf numFmtId="0" fontId="106" fillId="0" borderId="2">
      <alignment horizontal="centerContinuous"/>
    </xf>
    <xf numFmtId="199" fontId="107" fillId="0" borderId="0" applyFont="0" applyFill="0" applyBorder="0" applyAlignment="0" applyProtection="0"/>
    <xf numFmtId="0" fontId="108" fillId="0" borderId="33" applyNumberFormat="0" applyFill="0" applyAlignment="0" applyProtection="0"/>
    <xf numFmtId="0" fontId="74" fillId="0" borderId="0" applyFont="0" applyAlignment="0">
      <alignment horizontal="centerContinuous"/>
    </xf>
    <xf numFmtId="0" fontId="63" fillId="0" borderId="9">
      <alignment horizontal="centerContinuous"/>
    </xf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0">
      <protection locked="0"/>
    </xf>
    <xf numFmtId="191" fontId="57" fillId="0" borderId="0" applyFont="0" applyFill="0" applyBorder="0" applyAlignment="0" applyProtection="0">
      <protection locked="0"/>
    </xf>
    <xf numFmtId="191" fontId="57" fillId="0" borderId="0" applyFont="0" applyFill="0" applyBorder="0" applyAlignment="0" applyProtection="0">
      <protection locked="0"/>
    </xf>
    <xf numFmtId="191" fontId="57" fillId="0" borderId="0" applyFont="0" applyFill="0" applyBorder="0" applyAlignment="0" applyProtection="0">
      <protection locked="0"/>
    </xf>
    <xf numFmtId="191" fontId="20" fillId="0" borderId="0" applyFont="0" applyFill="0" applyBorder="0" applyAlignment="0" applyProtection="0">
      <protection locked="0"/>
    </xf>
    <xf numFmtId="10" fontId="6" fillId="12" borderId="9" applyNumberFormat="0" applyBorder="0" applyAlignment="0" applyProtection="0"/>
    <xf numFmtId="0" fontId="108" fillId="0" borderId="0" applyNumberFormat="0" applyFill="0" applyBorder="0" applyAlignment="0">
      <protection locked="0"/>
    </xf>
    <xf numFmtId="0" fontId="63" fillId="0" borderId="0" applyNumberFormat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0" fontId="99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41" fontId="36" fillId="0" borderId="0">
      <alignment horizontal="right"/>
    </xf>
    <xf numFmtId="241" fontId="36" fillId="0" borderId="0">
      <alignment horizontal="right"/>
    </xf>
    <xf numFmtId="0" fontId="99" fillId="0" borderId="0">
      <alignment horizontal="right"/>
    </xf>
    <xf numFmtId="242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0" fontId="99" fillId="0" borderId="0"/>
    <xf numFmtId="0" fontId="99" fillId="0" borderId="0"/>
    <xf numFmtId="243" fontId="36" fillId="0" borderId="0"/>
    <xf numFmtId="0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99" fillId="0" borderId="0"/>
    <xf numFmtId="0" fontId="99" fillId="0" borderId="0"/>
    <xf numFmtId="245" fontId="36" fillId="0" borderId="0"/>
    <xf numFmtId="0" fontId="99" fillId="0" borderId="0"/>
    <xf numFmtId="0" fontId="99" fillId="0" borderId="0"/>
    <xf numFmtId="0" fontId="64" fillId="0" borderId="0"/>
    <xf numFmtId="0" fontId="99" fillId="0" borderId="0">
      <alignment horizontal="right"/>
    </xf>
    <xf numFmtId="242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0" fontId="99" fillId="0" borderId="0"/>
    <xf numFmtId="241" fontId="36" fillId="0" borderId="0">
      <alignment horizontal="right"/>
    </xf>
    <xf numFmtId="0" fontId="99" fillId="0" borderId="0"/>
    <xf numFmtId="0" fontId="99" fillId="0" borderId="0"/>
    <xf numFmtId="243" fontId="36" fillId="0" borderId="0"/>
    <xf numFmtId="0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99" fillId="0" borderId="0"/>
    <xf numFmtId="0" fontId="99" fillId="0" borderId="0"/>
    <xf numFmtId="245" fontId="36" fillId="0" borderId="0"/>
    <xf numFmtId="0" fontId="99" fillId="0" borderId="0"/>
    <xf numFmtId="0" fontId="99" fillId="0" borderId="0"/>
    <xf numFmtId="0" fontId="64" fillId="0" borderId="0"/>
    <xf numFmtId="0" fontId="99" fillId="0" borderId="0">
      <alignment horizontal="right"/>
    </xf>
    <xf numFmtId="242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241" fontId="36" fillId="0" borderId="0">
      <alignment horizontal="right"/>
    </xf>
    <xf numFmtId="0" fontId="99" fillId="0" borderId="0"/>
    <xf numFmtId="38" fontId="65" fillId="0" borderId="0"/>
    <xf numFmtId="37" fontId="109" fillId="0" borderId="0">
      <alignment horizontal="center"/>
    </xf>
    <xf numFmtId="38" fontId="76" fillId="1" borderId="3"/>
    <xf numFmtId="38" fontId="76" fillId="1" borderId="3"/>
    <xf numFmtId="0" fontId="36" fillId="0" borderId="0" applyNumberFormat="0" applyFill="0" applyBorder="0" applyAlignment="0" applyProtection="0"/>
    <xf numFmtId="169" fontId="110" fillId="0" borderId="0" applyFont="0" applyFill="0" applyBorder="0" applyAlignment="0" applyProtection="0"/>
    <xf numFmtId="41" fontId="36" fillId="0" borderId="0" applyFont="0" applyFill="0" applyBorder="0" applyAlignment="0" applyProtection="0"/>
    <xf numFmtId="171" fontId="110" fillId="0" borderId="0" applyFont="0" applyFill="0" applyBorder="0" applyAlignment="0" applyProtection="0"/>
    <xf numFmtId="246" fontId="36" fillId="0" borderId="0" applyFont="0" applyFill="0" applyBorder="0" applyAlignment="0" applyProtection="0"/>
    <xf numFmtId="247" fontId="36" fillId="0" borderId="0" applyFont="0" applyFill="0" applyBorder="0" applyAlignment="0" applyProtection="0"/>
    <xf numFmtId="248" fontId="36" fillId="0" borderId="0" applyFont="0" applyFill="0" applyBorder="0" applyAlignment="0" applyProtection="0"/>
    <xf numFmtId="249" fontId="36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1" fillId="0" borderId="0" applyFont="0" applyFill="0" applyBorder="0" applyAlignment="0" applyProtection="0"/>
    <xf numFmtId="192" fontId="2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111" fillId="0" borderId="0">
      <alignment horizontal="centerContinuous"/>
    </xf>
    <xf numFmtId="250" fontId="8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1" fillId="0" borderId="0" applyFont="0" applyFill="0" applyBorder="0" applyAlignment="0" applyProtection="0"/>
    <xf numFmtId="193" fontId="2" fillId="0" borderId="0" applyFont="0" applyFill="0" applyBorder="0" applyAlignment="0" applyProtection="0"/>
    <xf numFmtId="251" fontId="64" fillId="0" borderId="0" applyFont="0" applyFill="0" applyBorder="0" applyAlignment="0" applyProtection="0"/>
    <xf numFmtId="252" fontId="81" fillId="0" borderId="0" applyFont="0" applyFill="0" applyBorder="0" applyAlignment="0" applyProtection="0"/>
    <xf numFmtId="253" fontId="64" fillId="0" borderId="0" applyFont="0" applyFill="0" applyBorder="0" applyAlignment="0" applyProtection="0"/>
    <xf numFmtId="254" fontId="64" fillId="0" borderId="0" applyFont="0" applyFill="0" applyBorder="0" applyAlignment="0" applyProtection="0"/>
    <xf numFmtId="255" fontId="64" fillId="0" borderId="0" applyFont="0" applyFill="0" applyBorder="0" applyAlignment="0" applyProtection="0"/>
    <xf numFmtId="256" fontId="112" fillId="0" borderId="0" applyFont="0" applyFill="0" applyBorder="0" applyProtection="0">
      <alignment horizontal="right"/>
    </xf>
    <xf numFmtId="0" fontId="99" fillId="0" borderId="0"/>
    <xf numFmtId="0" fontId="99" fillId="0" borderId="0"/>
    <xf numFmtId="243" fontId="36" fillId="0" borderId="0"/>
    <xf numFmtId="0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57" fontId="36" fillId="0" borderId="0"/>
    <xf numFmtId="258" fontId="36" fillId="0" borderId="0"/>
    <xf numFmtId="0" fontId="99" fillId="0" borderId="0"/>
    <xf numFmtId="258" fontId="36" fillId="0" borderId="0"/>
    <xf numFmtId="258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57" fontId="36" fillId="0" borderId="0"/>
    <xf numFmtId="258" fontId="36" fillId="0" borderId="0"/>
    <xf numFmtId="0" fontId="99" fillId="0" borderId="0"/>
    <xf numFmtId="258" fontId="36" fillId="0" borderId="0"/>
    <xf numFmtId="258" fontId="36" fillId="0" borderId="0"/>
    <xf numFmtId="0" fontId="99" fillId="0" borderId="0"/>
    <xf numFmtId="243" fontId="36" fillId="0" borderId="0"/>
    <xf numFmtId="0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44" fontId="36" fillId="0" borderId="0"/>
    <xf numFmtId="244" fontId="36" fillId="0" borderId="0"/>
    <xf numFmtId="244" fontId="36" fillId="0" borderId="0"/>
    <xf numFmtId="244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64" fillId="0" borderId="0"/>
    <xf numFmtId="245" fontId="36" fillId="0" borderId="0"/>
    <xf numFmtId="0" fontId="99" fillId="0" borderId="0"/>
    <xf numFmtId="0" fontId="99" fillId="0" borderId="0"/>
    <xf numFmtId="0" fontId="64" fillId="0" borderId="0"/>
    <xf numFmtId="38" fontId="72" fillId="0" borderId="0"/>
    <xf numFmtId="0" fontId="75" fillId="0" borderId="0">
      <alignment horizontal="left"/>
    </xf>
    <xf numFmtId="37" fontId="113" fillId="0" borderId="0"/>
    <xf numFmtId="37" fontId="114" fillId="0" borderId="9"/>
    <xf numFmtId="37" fontId="114" fillId="0" borderId="9"/>
    <xf numFmtId="37" fontId="114" fillId="0" borderId="9"/>
    <xf numFmtId="259" fontId="36" fillId="0" borderId="0"/>
    <xf numFmtId="185" fontId="56" fillId="0" borderId="0"/>
    <xf numFmtId="259" fontId="36" fillId="0" borderId="0"/>
    <xf numFmtId="0" fontId="2" fillId="0" borderId="0"/>
    <xf numFmtId="0" fontId="2" fillId="0" borderId="0"/>
    <xf numFmtId="0" fontId="36" fillId="0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91" fillId="0" borderId="0">
      <alignment vertical="top"/>
    </xf>
    <xf numFmtId="0" fontId="36" fillId="9" borderId="0"/>
    <xf numFmtId="0" fontId="36" fillId="9" borderId="0"/>
    <xf numFmtId="0" fontId="36" fillId="0" borderId="0"/>
    <xf numFmtId="0" fontId="36" fillId="9" borderId="0"/>
    <xf numFmtId="0" fontId="36" fillId="9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9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14" fillId="0" borderId="0"/>
    <xf numFmtId="0" fontId="91" fillId="0" borderId="0"/>
    <xf numFmtId="0" fontId="115" fillId="0" borderId="0"/>
    <xf numFmtId="0" fontId="36" fillId="0" borderId="0"/>
    <xf numFmtId="0" fontId="65" fillId="0" borderId="0"/>
    <xf numFmtId="0" fontId="2" fillId="5" borderId="18" applyNumberFormat="0" applyFont="0" applyAlignment="0" applyProtection="0"/>
    <xf numFmtId="0" fontId="74" fillId="0" borderId="27" applyFont="0" applyBorder="0" applyAlignment="0">
      <alignment horizontal="centerContinuous"/>
    </xf>
    <xf numFmtId="0" fontId="64" fillId="0" borderId="0" applyNumberFormat="0" applyFont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71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72" fontId="116" fillId="0" borderId="0" applyNumberFormat="0" applyFont="0" applyBorder="0"/>
    <xf numFmtId="260" fontId="36" fillId="0" borderId="0">
      <alignment horizontal="right"/>
    </xf>
    <xf numFmtId="0" fontId="36" fillId="0" borderId="23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19" applyNumberFormat="0" applyFont="0" applyFill="0" applyAlignment="0" applyProtection="0"/>
    <xf numFmtId="10" fontId="64" fillId="0" borderId="7"/>
    <xf numFmtId="184" fontId="40" fillId="0" borderId="2" applyBorder="0"/>
    <xf numFmtId="184" fontId="40" fillId="0" borderId="2" applyBorder="0"/>
    <xf numFmtId="184" fontId="40" fillId="0" borderId="2" applyBorder="0"/>
    <xf numFmtId="184" fontId="40" fillId="0" borderId="2" applyBorder="0"/>
    <xf numFmtId="184" fontId="40" fillId="0" borderId="2" applyBorder="0"/>
    <xf numFmtId="184" fontId="40" fillId="0" borderId="2" applyBorder="0"/>
    <xf numFmtId="184" fontId="40" fillId="0" borderId="2" applyBorder="0"/>
    <xf numFmtId="184" fontId="40" fillId="0" borderId="2" applyBorder="0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72" fontId="117" fillId="0" borderId="0"/>
    <xf numFmtId="172" fontId="117" fillId="0" borderId="0" applyProtection="0">
      <alignment horizontal="right"/>
    </xf>
    <xf numFmtId="172" fontId="117" fillId="0" borderId="0"/>
    <xf numFmtId="172" fontId="117" fillId="0" borderId="0" applyProtection="0">
      <alignment horizontal="right"/>
    </xf>
    <xf numFmtId="172" fontId="117" fillId="0" borderId="0"/>
    <xf numFmtId="172" fontId="117" fillId="0" borderId="0" applyProtection="0">
      <alignment horizontal="right"/>
    </xf>
    <xf numFmtId="172" fontId="117" fillId="0" borderId="0"/>
    <xf numFmtId="0" fontId="118" fillId="0" borderId="0" applyProtection="0">
      <alignment horizontal="left"/>
    </xf>
    <xf numFmtId="0" fontId="118" fillId="0" borderId="0" applyFill="0" applyBorder="0" applyProtection="0">
      <alignment horizontal="left"/>
    </xf>
    <xf numFmtId="0" fontId="119" fillId="0" borderId="0" applyFill="0" applyBorder="0" applyProtection="0">
      <alignment horizontal="left"/>
    </xf>
    <xf numFmtId="0" fontId="76" fillId="0" borderId="34" applyNumberFormat="0" applyAlignment="0" applyProtection="0"/>
    <xf numFmtId="0" fontId="65" fillId="20" borderId="0" applyNumberFormat="0" applyFont="0" applyBorder="0" applyAlignment="0" applyProtection="0"/>
    <xf numFmtId="0" fontId="6" fillId="21" borderId="10" applyNumberFormat="0" applyFont="0" applyBorder="0" applyAlignment="0" applyProtection="0">
      <alignment horizontal="center"/>
    </xf>
    <xf numFmtId="0" fontId="6" fillId="10" borderId="10" applyNumberFormat="0" applyFont="0" applyBorder="0" applyAlignment="0" applyProtection="0">
      <alignment horizontal="center"/>
    </xf>
    <xf numFmtId="0" fontId="65" fillId="0" borderId="35" applyNumberFormat="0" applyAlignment="0" applyProtection="0"/>
    <xf numFmtId="0" fontId="65" fillId="0" borderId="36" applyNumberFormat="0" applyAlignment="0" applyProtection="0"/>
    <xf numFmtId="0" fontId="76" fillId="0" borderId="37" applyNumberFormat="0" applyAlignment="0" applyProtection="0"/>
    <xf numFmtId="172" fontId="98" fillId="0" borderId="0">
      <alignment horizontal="right"/>
    </xf>
    <xf numFmtId="172" fontId="75" fillId="0" borderId="0"/>
    <xf numFmtId="172" fontId="116" fillId="0" borderId="0"/>
    <xf numFmtId="9" fontId="36" fillId="0" borderId="0">
      <protection locked="0"/>
    </xf>
    <xf numFmtId="10" fontId="36" fillId="0" borderId="0">
      <protection locked="0"/>
    </xf>
    <xf numFmtId="201" fontId="36" fillId="0" borderId="0" applyFont="0" applyFill="0" applyBorder="0" applyAlignment="0" applyProtection="0"/>
    <xf numFmtId="261" fontId="36" fillId="0" borderId="0" applyFont="0" applyFill="0" applyBorder="0" applyAlignment="0" applyProtection="0"/>
    <xf numFmtId="262" fontId="64" fillId="0" borderId="0" applyFont="0" applyFill="0" applyBorder="0" applyAlignment="0" applyProtection="0"/>
    <xf numFmtId="263" fontId="64" fillId="0" borderId="0" applyFont="0" applyFill="0" applyBorder="0" applyAlignment="0" applyProtection="0"/>
    <xf numFmtId="0" fontId="120" fillId="0" borderId="0" applyFont="0" applyFill="0" applyBorder="0" applyAlignment="0" applyProtection="0"/>
    <xf numFmtId="9" fontId="90" fillId="0" borderId="0" applyFont="0" applyFill="0" applyBorder="0" applyAlignment="0" applyProtection="0"/>
    <xf numFmtId="172" fontId="90" fillId="0" borderId="0" applyFont="0" applyFill="0" applyBorder="0" applyAlignment="0" applyProtection="0"/>
    <xf numFmtId="10" fontId="9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264" fontId="81" fillId="0" borderId="0" applyFont="0" applyFill="0" applyBorder="0" applyProtection="0">
      <alignment horizontal="right"/>
    </xf>
    <xf numFmtId="9" fontId="87" fillId="0" borderId="30"/>
    <xf numFmtId="9" fontId="87" fillId="0" borderId="30"/>
    <xf numFmtId="0" fontId="75" fillId="0" borderId="0" applyNumberFormat="0" applyFont="0"/>
    <xf numFmtId="172" fontId="117" fillId="0" borderId="0">
      <alignment horizontal="right"/>
    </xf>
    <xf numFmtId="0" fontId="121" fillId="0" borderId="0" applyFont="0" applyFill="0" applyBorder="0" applyAlignment="0" applyProtection="0">
      <alignment horizontal="center"/>
    </xf>
    <xf numFmtId="0" fontId="121" fillId="0" borderId="0" applyFont="0" applyFill="0" applyBorder="0" applyAlignment="0" applyProtection="0">
      <alignment horizontal="center"/>
    </xf>
    <xf numFmtId="0" fontId="121" fillId="0" borderId="0" applyFont="0" applyFill="0" applyBorder="0" applyAlignment="0" applyProtection="0">
      <alignment horizontal="center"/>
    </xf>
    <xf numFmtId="10" fontId="63" fillId="0" borderId="0"/>
    <xf numFmtId="9" fontId="63" fillId="0" borderId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201" fontId="36" fillId="0" borderId="0" applyFill="0" applyBorder="0" applyAlignment="0"/>
    <xf numFmtId="0" fontId="93" fillId="0" borderId="0" applyNumberFormat="0" applyFont="0" applyFill="0" applyBorder="0" applyAlignment="0" applyProtection="0">
      <alignment horizontal="left"/>
    </xf>
    <xf numFmtId="15" fontId="93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122" fillId="0" borderId="2">
      <alignment horizontal="center"/>
    </xf>
    <xf numFmtId="3" fontId="93" fillId="0" borderId="0" applyFont="0" applyFill="0" applyBorder="0" applyAlignment="0" applyProtection="0"/>
    <xf numFmtId="0" fontId="93" fillId="22" borderId="0" applyNumberFormat="0" applyFont="0" applyBorder="0" applyAlignment="0" applyProtection="0"/>
    <xf numFmtId="0" fontId="75" fillId="0" borderId="13"/>
    <xf numFmtId="0" fontId="75" fillId="0" borderId="13"/>
    <xf numFmtId="2" fontId="64" fillId="0" borderId="0"/>
    <xf numFmtId="0" fontId="123" fillId="0" borderId="3"/>
    <xf numFmtId="0" fontId="123" fillId="0" borderId="3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1" fillId="0" borderId="0" applyFont="0" applyFill="0" applyBorder="0" applyAlignment="0" applyProtection="0"/>
    <xf numFmtId="194" fontId="2" fillId="0" borderId="0" applyFont="0" applyFill="0" applyBorder="0" applyAlignment="0" applyProtection="0"/>
    <xf numFmtId="198" fontId="124" fillId="0" borderId="0">
      <alignment horizontal="right"/>
    </xf>
    <xf numFmtId="265" fontId="125" fillId="23" borderId="38">
      <alignment vertical="center"/>
    </xf>
    <xf numFmtId="10" fontId="75" fillId="0" borderId="9"/>
    <xf numFmtId="10" fontId="75" fillId="0" borderId="9"/>
    <xf numFmtId="10" fontId="75" fillId="0" borderId="9"/>
    <xf numFmtId="10" fontId="116" fillId="0" borderId="0"/>
    <xf numFmtId="2" fontId="64" fillId="0" borderId="0">
      <alignment horizontal="right"/>
    </xf>
    <xf numFmtId="0" fontId="126" fillId="24" borderId="0" applyNumberFormat="0" applyFont="0" applyFill="0" applyBorder="0" applyAlignment="0" applyProtection="0"/>
    <xf numFmtId="0" fontId="126" fillId="19" borderId="0" applyNumberFormat="0" applyFont="0" applyFill="0" applyBorder="0" applyAlignment="0" applyProtection="0"/>
    <xf numFmtId="0" fontId="65" fillId="0" borderId="0">
      <alignment horizontal="center"/>
    </xf>
    <xf numFmtId="0" fontId="65" fillId="0" borderId="0">
      <alignment horizontal="center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0"/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65" fillId="0" borderId="0">
      <alignment horizontal="center"/>
    </xf>
    <xf numFmtId="198" fontId="75" fillId="0" borderId="13">
      <alignment horizontal="right"/>
    </xf>
    <xf numFmtId="198" fontId="75" fillId="0" borderId="13">
      <alignment horizontal="right"/>
    </xf>
    <xf numFmtId="198" fontId="75" fillId="0" borderId="13">
      <alignment horizontal="right"/>
    </xf>
    <xf numFmtId="198" fontId="75" fillId="0" borderId="13">
      <alignment horizontal="right"/>
    </xf>
    <xf numFmtId="198" fontId="75" fillId="0" borderId="13">
      <alignment horizontal="right"/>
    </xf>
    <xf numFmtId="198" fontId="75" fillId="0" borderId="13">
      <alignment horizontal="right"/>
    </xf>
    <xf numFmtId="198" fontId="75" fillId="0" borderId="13">
      <alignment horizontal="right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0" fillId="0" borderId="26"/>
    <xf numFmtId="0" fontId="127" fillId="0" borderId="0">
      <protection locked="0"/>
    </xf>
    <xf numFmtId="0" fontId="128" fillId="0" borderId="0"/>
    <xf numFmtId="0" fontId="65" fillId="25" borderId="0" applyNumberFormat="0" applyFont="0" applyBorder="0" applyAlignment="0" applyProtection="0"/>
    <xf numFmtId="0" fontId="79" fillId="26" borderId="0" applyNumberFormat="0" applyFont="0" applyBorder="0" applyAlignment="0" applyProtection="0"/>
    <xf numFmtId="266" fontId="129" fillId="0" borderId="0" applyFont="0" applyFill="0" applyBorder="0" applyAlignment="0" applyProtection="0"/>
    <xf numFmtId="168" fontId="83" fillId="0" borderId="0" applyFill="0" applyBorder="0" applyAlignment="0" applyProtection="0"/>
    <xf numFmtId="0" fontId="130" fillId="0" borderId="27">
      <alignment horizontal="center"/>
    </xf>
    <xf numFmtId="198" fontId="123" fillId="0" borderId="39">
      <alignment horizontal="right"/>
    </xf>
    <xf numFmtId="0" fontId="131" fillId="27" borderId="0" applyNumberFormat="0" applyBorder="0" applyAlignment="0" applyProtection="0"/>
    <xf numFmtId="0" fontId="36" fillId="0" borderId="0" applyNumberFormat="0" applyFont="0" applyFill="0" applyBorder="0" applyAlignment="0" applyProtection="0"/>
    <xf numFmtId="0" fontId="131" fillId="27" borderId="0" applyNumberFormat="0" applyBorder="0" applyAlignment="0" applyProtection="0"/>
    <xf numFmtId="0" fontId="36" fillId="12" borderId="0" applyNumberFormat="0" applyAlignment="0" applyProtection="0"/>
    <xf numFmtId="3" fontId="36" fillId="0" borderId="0" applyNumberFormat="0" applyFont="0" applyFill="0" applyBorder="0" applyAlignment="0" applyProtection="0"/>
    <xf numFmtId="0" fontId="131" fillId="27" borderId="0" applyNumberFormat="0" applyBorder="0" applyAlignment="0" applyProtection="0"/>
    <xf numFmtId="0" fontId="36" fillId="12" borderId="0" applyNumberFormat="0" applyBorder="0" applyAlignment="0" applyProtection="0"/>
    <xf numFmtId="3" fontId="36" fillId="0" borderId="0" applyNumberFormat="0" applyFont="0" applyFill="0" applyBorder="0" applyAlignment="0" applyProtection="0"/>
    <xf numFmtId="0" fontId="36" fillId="28" borderId="0" applyNumberFormat="0" applyBorder="0" applyAlignment="0" applyProtection="0"/>
    <xf numFmtId="0" fontId="131" fillId="28" borderId="0" applyNumberFormat="0" applyBorder="0" applyAlignment="0" applyProtection="0"/>
    <xf numFmtId="3" fontId="36" fillId="0" borderId="0" applyNumberFormat="0" applyFont="0" applyFill="0" applyBorder="0" applyAlignment="0" applyProtection="0"/>
    <xf numFmtId="3" fontId="131" fillId="29" borderId="0" applyNumberFormat="0" applyBorder="0" applyAlignment="0" applyProtection="0"/>
    <xf numFmtId="3" fontId="131" fillId="29" borderId="0" applyNumberFormat="0" applyBorder="0" applyAlignment="0" applyProtection="0"/>
    <xf numFmtId="3" fontId="36" fillId="0" borderId="0" applyNumberFormat="0" applyFont="0" applyFill="0" applyBorder="0" applyAlignment="0" applyProtection="0"/>
    <xf numFmtId="3" fontId="131" fillId="30" borderId="0" applyNumberFormat="0" applyBorder="0" applyAlignment="0" applyProtection="0"/>
    <xf numFmtId="3" fontId="131" fillId="30" borderId="0" applyNumberFormat="0" applyBorder="0" applyAlignment="0" applyProtection="0"/>
    <xf numFmtId="0" fontId="36" fillId="0" borderId="0" applyFont="0" applyFill="0" applyBorder="0" applyAlignment="0" applyProtection="0"/>
    <xf numFmtId="3" fontId="36" fillId="11" borderId="0" applyFont="0" applyBorder="0" applyAlignment="0" applyProtection="0"/>
    <xf numFmtId="0" fontId="36" fillId="30" borderId="0" applyNumberFormat="0" applyFont="0" applyBorder="0" applyAlignment="0" applyProtection="0"/>
    <xf numFmtId="4" fontId="36" fillId="11" borderId="0" applyFont="0" applyBorder="0" applyAlignment="0" applyProtection="0"/>
    <xf numFmtId="0" fontId="65" fillId="0" borderId="0"/>
    <xf numFmtId="0" fontId="73" fillId="0" borderId="27"/>
    <xf numFmtId="0" fontId="4" fillId="31" borderId="0"/>
    <xf numFmtId="0" fontId="132" fillId="31" borderId="0"/>
    <xf numFmtId="0" fontId="132" fillId="31" borderId="0"/>
    <xf numFmtId="0" fontId="133" fillId="0" borderId="40"/>
    <xf numFmtId="0" fontId="133" fillId="0" borderId="40"/>
    <xf numFmtId="0" fontId="73" fillId="0" borderId="0"/>
    <xf numFmtId="0" fontId="73" fillId="0" borderId="32"/>
    <xf numFmtId="0" fontId="73" fillId="0" borderId="32"/>
    <xf numFmtId="0" fontId="134" fillId="0" borderId="0"/>
    <xf numFmtId="37" fontId="71" fillId="0" borderId="0"/>
    <xf numFmtId="0" fontId="72" fillId="0" borderId="0" applyNumberFormat="0" applyFill="0" applyBorder="0" applyProtection="0">
      <alignment horizontal="left"/>
    </xf>
    <xf numFmtId="0" fontId="36" fillId="0" borderId="0" applyNumberFormat="0" applyBorder="0"/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36" fillId="0" borderId="0" applyNumberFormat="0" applyFill="0" applyBorder="0" applyProtection="0">
      <alignment horizontal="right"/>
    </xf>
    <xf numFmtId="0" fontId="72" fillId="0" borderId="43" applyNumberFormat="0">
      <alignment horizontal="right"/>
    </xf>
    <xf numFmtId="0" fontId="72" fillId="0" borderId="43" applyNumberFormat="0">
      <alignment horizontal="right"/>
    </xf>
    <xf numFmtId="0" fontId="72" fillId="0" borderId="44" applyNumberFormat="0">
      <alignment horizontal="right"/>
    </xf>
    <xf numFmtId="0" fontId="72" fillId="0" borderId="44" applyNumberFormat="0">
      <alignment horizontal="right"/>
    </xf>
    <xf numFmtId="267" fontId="36" fillId="0" borderId="45"/>
    <xf numFmtId="267" fontId="36" fillId="0" borderId="0" applyBorder="0"/>
    <xf numFmtId="267" fontId="36" fillId="0" borderId="46"/>
    <xf numFmtId="267" fontId="36" fillId="32" borderId="45"/>
    <xf numFmtId="267" fontId="36" fillId="32" borderId="0" applyBorder="0"/>
    <xf numFmtId="267" fontId="36" fillId="32" borderId="46"/>
    <xf numFmtId="268" fontId="36" fillId="0" borderId="46"/>
    <xf numFmtId="268" fontId="36" fillId="0" borderId="0" applyBorder="0"/>
    <xf numFmtId="14" fontId="72" fillId="0" borderId="0" applyFill="0" applyBorder="0" applyProtection="0">
      <alignment horizontal="left"/>
    </xf>
    <xf numFmtId="268" fontId="36" fillId="32" borderId="0" applyBorder="0"/>
    <xf numFmtId="268" fontId="36" fillId="32" borderId="46"/>
    <xf numFmtId="268" fontId="36" fillId="32" borderId="45"/>
    <xf numFmtId="268" fontId="36" fillId="0" borderId="45"/>
    <xf numFmtId="269" fontId="36" fillId="0" borderId="46"/>
    <xf numFmtId="269" fontId="36" fillId="0" borderId="0" applyBorder="0"/>
    <xf numFmtId="269" fontId="36" fillId="32" borderId="0" applyBorder="0"/>
    <xf numFmtId="269" fontId="36" fillId="32" borderId="46"/>
    <xf numFmtId="269" fontId="36" fillId="32" borderId="45"/>
    <xf numFmtId="269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7" fontId="36" fillId="0" borderId="42"/>
    <xf numFmtId="267" fontId="36" fillId="0" borderId="42"/>
    <xf numFmtId="267" fontId="36" fillId="0" borderId="43"/>
    <xf numFmtId="267" fontId="36" fillId="0" borderId="43"/>
    <xf numFmtId="267" fontId="36" fillId="0" borderId="44"/>
    <xf numFmtId="267" fontId="36" fillId="0" borderId="44"/>
    <xf numFmtId="268" fontId="36" fillId="0" borderId="42"/>
    <xf numFmtId="268" fontId="36" fillId="0" borderId="42"/>
    <xf numFmtId="268" fontId="36" fillId="0" borderId="43"/>
    <xf numFmtId="268" fontId="36" fillId="0" borderId="43"/>
    <xf numFmtId="268" fontId="36" fillId="0" borderId="44"/>
    <xf numFmtId="268" fontId="36" fillId="0" borderId="44"/>
    <xf numFmtId="269" fontId="36" fillId="0" borderId="42"/>
    <xf numFmtId="269" fontId="36" fillId="0" borderId="42"/>
    <xf numFmtId="269" fontId="36" fillId="0" borderId="43"/>
    <xf numFmtId="269" fontId="36" fillId="0" borderId="43"/>
    <xf numFmtId="269" fontId="36" fillId="0" borderId="44"/>
    <xf numFmtId="269" fontId="36" fillId="0" borderId="44"/>
    <xf numFmtId="0" fontId="36" fillId="0" borderId="0" applyNumberFormat="0" applyBorder="0"/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72" fillId="0" borderId="43" applyNumberFormat="0">
      <alignment horizontal="right"/>
    </xf>
    <xf numFmtId="0" fontId="72" fillId="0" borderId="43" applyNumberFormat="0">
      <alignment horizontal="right"/>
    </xf>
    <xf numFmtId="0" fontId="72" fillId="0" borderId="44" applyNumberFormat="0">
      <alignment horizontal="right"/>
    </xf>
    <xf numFmtId="0" fontId="72" fillId="0" borderId="44" applyNumberFormat="0">
      <alignment horizontal="right"/>
    </xf>
    <xf numFmtId="269" fontId="36" fillId="0" borderId="46"/>
    <xf numFmtId="269" fontId="36" fillId="0" borderId="0" applyBorder="0"/>
    <xf numFmtId="269" fontId="36" fillId="32" borderId="0" applyBorder="0"/>
    <xf numFmtId="269" fontId="36" fillId="32" borderId="46"/>
    <xf numFmtId="269" fontId="36" fillId="32" borderId="45"/>
    <xf numFmtId="269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9" fontId="36" fillId="0" borderId="42"/>
    <xf numFmtId="269" fontId="36" fillId="0" borderId="42"/>
    <xf numFmtId="269" fontId="36" fillId="0" borderId="43"/>
    <xf numFmtId="269" fontId="36" fillId="0" borderId="43"/>
    <xf numFmtId="269" fontId="36" fillId="0" borderId="44"/>
    <xf numFmtId="269" fontId="36" fillId="0" borderId="44"/>
    <xf numFmtId="0" fontId="36" fillId="0" borderId="0" applyNumberFormat="0" applyBorder="0"/>
    <xf numFmtId="0" fontId="135" fillId="25" borderId="42" applyNumberFormat="0">
      <alignment horizontal="right"/>
    </xf>
    <xf numFmtId="0" fontId="135" fillId="25" borderId="42" applyNumberFormat="0">
      <alignment horizontal="right"/>
    </xf>
    <xf numFmtId="0" fontId="135" fillId="25" borderId="43" applyNumberFormat="0">
      <alignment horizontal="right"/>
    </xf>
    <xf numFmtId="0" fontId="135" fillId="25" borderId="43" applyNumberFormat="0">
      <alignment horizontal="right"/>
    </xf>
    <xf numFmtId="0" fontId="135" fillId="25" borderId="44" applyNumberFormat="0">
      <alignment horizontal="right"/>
    </xf>
    <xf numFmtId="0" fontId="135" fillId="25" borderId="44" applyNumberFormat="0">
      <alignment horizontal="right"/>
    </xf>
    <xf numFmtId="0" fontId="135" fillId="25" borderId="41" applyNumberFormat="0"/>
    <xf numFmtId="0" fontId="135" fillId="25" borderId="41" applyNumberFormat="0"/>
    <xf numFmtId="269" fontId="36" fillId="0" borderId="46"/>
    <xf numFmtId="269" fontId="36" fillId="0" borderId="0" applyBorder="0"/>
    <xf numFmtId="269" fontId="36" fillId="32" borderId="0" applyBorder="0"/>
    <xf numFmtId="269" fontId="36" fillId="32" borderId="46"/>
    <xf numFmtId="269" fontId="36" fillId="32" borderId="45"/>
    <xf numFmtId="269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0" fontId="36" fillId="0" borderId="47" applyNumberFormat="0"/>
    <xf numFmtId="0" fontId="36" fillId="0" borderId="47" applyNumberFormat="0"/>
    <xf numFmtId="267" fontId="36" fillId="32" borderId="46" applyFont="0" applyAlignment="0" applyProtection="0"/>
    <xf numFmtId="268" fontId="36" fillId="0" borderId="46" applyFont="0" applyFill="0" applyAlignment="0" applyProtection="0"/>
    <xf numFmtId="268" fontId="36" fillId="0" borderId="0" applyFont="0" applyFill="0" applyBorder="0" applyAlignment="0" applyProtection="0"/>
    <xf numFmtId="268" fontId="36" fillId="32" borderId="0" applyFont="0" applyBorder="0" applyAlignment="0" applyProtection="0"/>
    <xf numFmtId="268" fontId="36" fillId="32" borderId="46" applyFont="0" applyAlignment="0" applyProtection="0"/>
    <xf numFmtId="268" fontId="36" fillId="32" borderId="45" applyFont="0" applyAlignment="0" applyProtection="0"/>
    <xf numFmtId="268" fontId="36" fillId="0" borderId="45" applyFont="0" applyFill="0" applyAlignment="0" applyProtection="0"/>
    <xf numFmtId="269" fontId="36" fillId="0" borderId="46" applyFont="0" applyFill="0" applyAlignment="0" applyProtection="0"/>
    <xf numFmtId="269" fontId="36" fillId="0" borderId="0" applyFont="0" applyFill="0" applyBorder="0" applyAlignment="0" applyProtection="0"/>
    <xf numFmtId="269" fontId="36" fillId="32" borderId="0" applyFont="0" applyBorder="0" applyAlignment="0" applyProtection="0"/>
    <xf numFmtId="0" fontId="36" fillId="19" borderId="45" applyNumberFormat="0">
      <alignment horizontal="left"/>
    </xf>
    <xf numFmtId="0" fontId="36" fillId="32" borderId="45" applyNumberFormat="0">
      <alignment horizontal="left"/>
    </xf>
    <xf numFmtId="0" fontId="36" fillId="19" borderId="45" applyNumberFormat="0">
      <alignment horizontal="right"/>
    </xf>
    <xf numFmtId="0" fontId="36" fillId="32" borderId="45" applyNumberFormat="0">
      <alignment horizontal="right"/>
    </xf>
    <xf numFmtId="0" fontId="36" fillId="19" borderId="45" applyNumberFormat="0">
      <alignment horizontal="center"/>
    </xf>
    <xf numFmtId="0" fontId="36" fillId="32" borderId="45" applyNumberFormat="0">
      <alignment horizontal="center"/>
    </xf>
    <xf numFmtId="0" fontId="36" fillId="33" borderId="0" applyNumberFormat="0" applyBorder="0"/>
    <xf numFmtId="0" fontId="36" fillId="0" borderId="47" applyNumberFormat="0"/>
    <xf numFmtId="0" fontId="36" fillId="0" borderId="47" applyNumberFormat="0"/>
    <xf numFmtId="0" fontId="36" fillId="0" borderId="45" applyNumberFormat="0"/>
    <xf numFmtId="268" fontId="36" fillId="0" borderId="43" applyFont="0" applyFill="0" applyAlignment="0" applyProtection="0"/>
    <xf numFmtId="268" fontId="36" fillId="0" borderId="43" applyFont="0" applyFill="0" applyAlignment="0" applyProtection="0"/>
    <xf numFmtId="268" fontId="36" fillId="0" borderId="44" applyFont="0" applyFill="0" applyAlignment="0" applyProtection="0"/>
    <xf numFmtId="268" fontId="36" fillId="0" borderId="44" applyFont="0" applyFill="0" applyAlignment="0" applyProtection="0"/>
    <xf numFmtId="269" fontId="36" fillId="0" borderId="42" applyFill="0" applyAlignment="0" applyProtection="0"/>
    <xf numFmtId="269" fontId="36" fillId="0" borderId="42" applyFill="0" applyAlignment="0" applyProtection="0"/>
    <xf numFmtId="269" fontId="36" fillId="0" borderId="43" applyFont="0" applyFill="0" applyAlignment="0" applyProtection="0"/>
    <xf numFmtId="269" fontId="36" fillId="0" borderId="43" applyFont="0" applyFill="0" applyAlignment="0" applyProtection="0"/>
    <xf numFmtId="269" fontId="36" fillId="0" borderId="44" applyFont="0" applyFill="0" applyAlignment="0" applyProtection="0"/>
    <xf numFmtId="269" fontId="36" fillId="0" borderId="44" applyFont="0" applyFill="0" applyAlignment="0" applyProtection="0"/>
    <xf numFmtId="0" fontId="36" fillId="0" borderId="0" applyNumberFormat="0" applyBorder="0"/>
    <xf numFmtId="0" fontId="36" fillId="0" borderId="9" applyNumberFormat="0">
      <alignment horizontal="center"/>
    </xf>
    <xf numFmtId="0" fontId="36" fillId="0" borderId="9" applyNumberFormat="0">
      <alignment horizontal="center"/>
    </xf>
    <xf numFmtId="0" fontId="36" fillId="0" borderId="9" applyNumberFormat="0">
      <alignment horizontal="center"/>
    </xf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36" fillId="0" borderId="48" applyNumberFormat="0"/>
    <xf numFmtId="0" fontId="36" fillId="0" borderId="48" applyNumberFormat="0"/>
    <xf numFmtId="0" fontId="36" fillId="0" borderId="49" applyNumberFormat="0"/>
    <xf numFmtId="0" fontId="36" fillId="0" borderId="49" applyNumberFormat="0"/>
    <xf numFmtId="0" fontId="36" fillId="0" borderId="45" applyNumberFormat="0"/>
    <xf numFmtId="0" fontId="36" fillId="0" borderId="46" applyNumberFormat="0"/>
    <xf numFmtId="0" fontId="36" fillId="0" borderId="50" applyNumberFormat="0"/>
    <xf numFmtId="0" fontId="36" fillId="0" borderId="51" applyNumberFormat="0"/>
    <xf numFmtId="268" fontId="36" fillId="0" borderId="46"/>
    <xf numFmtId="268" fontId="36" fillId="0" borderId="0" applyBorder="0"/>
    <xf numFmtId="268" fontId="36" fillId="32" borderId="0" applyBorder="0"/>
    <xf numFmtId="268" fontId="36" fillId="32" borderId="46"/>
    <xf numFmtId="269" fontId="36" fillId="0" borderId="46"/>
    <xf numFmtId="269" fontId="36" fillId="0" borderId="0" applyBorder="0"/>
    <xf numFmtId="269" fontId="36" fillId="32" borderId="0" applyBorder="0"/>
    <xf numFmtId="269" fontId="36" fillId="32" borderId="46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0" fontId="36" fillId="0" borderId="47" applyNumberFormat="0"/>
    <xf numFmtId="0" fontId="36" fillId="0" borderId="47" applyNumberFormat="0"/>
    <xf numFmtId="0" fontId="36" fillId="33" borderId="0" applyNumberFormat="0" applyBorder="0"/>
    <xf numFmtId="0" fontId="36" fillId="0" borderId="0" applyNumberFormat="0" applyFont="0" applyFill="0" applyBorder="0" applyAlignment="0" applyProtection="0"/>
    <xf numFmtId="0" fontId="135" fillId="25" borderId="41" applyNumberFormat="0" applyAlignment="0" applyProtection="0"/>
    <xf numFmtId="0" fontId="135" fillId="25" borderId="41" applyNumberFormat="0" applyAlignment="0" applyProtection="0"/>
    <xf numFmtId="0" fontId="72" fillId="0" borderId="42" applyNumberFormat="0" applyFill="0" applyProtection="0">
      <alignment horizontal="right"/>
    </xf>
    <xf numFmtId="0" fontId="72" fillId="0" borderId="42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269" fontId="36" fillId="0" borderId="46" applyFont="0" applyFill="0" applyAlignment="0" applyProtection="0"/>
    <xf numFmtId="269" fontId="36" fillId="0" borderId="0" applyFont="0" applyFill="0" applyBorder="0" applyAlignment="0" applyProtection="0"/>
    <xf numFmtId="269" fontId="36" fillId="32" borderId="0" applyFont="0" applyBorder="0" applyAlignment="0" applyProtection="0"/>
    <xf numFmtId="269" fontId="36" fillId="32" borderId="46" applyFont="0" applyAlignment="0" applyProtection="0"/>
    <xf numFmtId="269" fontId="36" fillId="32" borderId="45" applyFont="0" applyAlignment="0" applyProtection="0"/>
    <xf numFmtId="269" fontId="36" fillId="0" borderId="45" applyFont="0" applyFill="0" applyAlignment="0" applyProtection="0"/>
    <xf numFmtId="0" fontId="72" fillId="0" borderId="45" applyNumberFormat="0" applyFill="0" applyProtection="0">
      <alignment horizontal="right"/>
    </xf>
    <xf numFmtId="0" fontId="72" fillId="32" borderId="45" applyNumberFormat="0" applyProtection="0">
      <alignment horizontal="right"/>
    </xf>
    <xf numFmtId="269" fontId="36" fillId="0" borderId="42" applyFill="0" applyAlignment="0" applyProtection="0"/>
    <xf numFmtId="269" fontId="36" fillId="0" borderId="42" applyFill="0" applyAlignment="0" applyProtection="0"/>
    <xf numFmtId="269" fontId="36" fillId="0" borderId="43" applyFont="0" applyFill="0" applyAlignment="0" applyProtection="0"/>
    <xf numFmtId="269" fontId="36" fillId="0" borderId="43" applyFont="0" applyFill="0" applyAlignment="0" applyProtection="0"/>
    <xf numFmtId="269" fontId="36" fillId="0" borderId="44" applyFont="0" applyFill="0" applyAlignment="0" applyProtection="0"/>
    <xf numFmtId="269" fontId="36" fillId="0" borderId="44" applyFont="0" applyFill="0" applyAlignment="0" applyProtection="0"/>
    <xf numFmtId="270" fontId="72" fillId="0" borderId="45">
      <alignment horizontal="right"/>
    </xf>
    <xf numFmtId="270" fontId="72" fillId="32" borderId="45">
      <alignment horizontal="right"/>
    </xf>
    <xf numFmtId="268" fontId="36" fillId="0" borderId="45"/>
    <xf numFmtId="268" fontId="36" fillId="32" borderId="45"/>
    <xf numFmtId="269" fontId="36" fillId="0" borderId="46"/>
    <xf numFmtId="269" fontId="36" fillId="32" borderId="46"/>
    <xf numFmtId="271" fontId="36" fillId="0" borderId="45"/>
    <xf numFmtId="267" fontId="36" fillId="32" borderId="45"/>
    <xf numFmtId="271" fontId="36" fillId="0" borderId="46"/>
    <xf numFmtId="271" fontId="36" fillId="32" borderId="46"/>
    <xf numFmtId="0" fontId="36" fillId="0" borderId="47" applyNumberFormat="0"/>
    <xf numFmtId="0" fontId="36" fillId="0" borderId="47" applyNumberFormat="0"/>
    <xf numFmtId="269" fontId="36" fillId="0" borderId="45"/>
    <xf numFmtId="269" fontId="36" fillId="32" borderId="45"/>
    <xf numFmtId="0" fontId="36" fillId="0" borderId="0" applyNumberFormat="0" applyFont="0" applyFill="0" applyBorder="0" applyAlignment="0" applyProtection="0"/>
    <xf numFmtId="0" fontId="135" fillId="25" borderId="42" applyNumberFormat="0" applyProtection="0">
      <alignment horizontal="right"/>
    </xf>
    <xf numFmtId="0" fontId="135" fillId="25" borderId="42" applyNumberFormat="0" applyProtection="0">
      <alignment horizontal="right"/>
    </xf>
    <xf numFmtId="0" fontId="135" fillId="25" borderId="43" applyNumberFormat="0" applyProtection="0">
      <alignment horizontal="right"/>
    </xf>
    <xf numFmtId="0" fontId="135" fillId="25" borderId="43" applyNumberFormat="0" applyProtection="0">
      <alignment horizontal="right"/>
    </xf>
    <xf numFmtId="0" fontId="135" fillId="25" borderId="44" applyNumberFormat="0" applyProtection="0">
      <alignment horizontal="right"/>
    </xf>
    <xf numFmtId="0" fontId="135" fillId="25" borderId="44" applyNumberFormat="0" applyProtection="0">
      <alignment horizontal="right"/>
    </xf>
    <xf numFmtId="0" fontId="135" fillId="25" borderId="41" applyNumberFormat="0" applyAlignment="0" applyProtection="0"/>
    <xf numFmtId="0" fontId="135" fillId="25" borderId="41" applyNumberFormat="0" applyAlignment="0" applyProtection="0"/>
    <xf numFmtId="269" fontId="36" fillId="0" borderId="46" applyFont="0" applyFill="0" applyAlignment="0" applyProtection="0"/>
    <xf numFmtId="269" fontId="36" fillId="0" borderId="0" applyFont="0" applyFill="0" applyBorder="0" applyAlignment="0" applyProtection="0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8" fontId="36" fillId="0" borderId="45"/>
    <xf numFmtId="268" fontId="36" fillId="32" borderId="45"/>
    <xf numFmtId="269" fontId="36" fillId="0" borderId="46"/>
    <xf numFmtId="269" fontId="36" fillId="32" borderId="46"/>
    <xf numFmtId="271" fontId="36" fillId="0" borderId="45"/>
    <xf numFmtId="267" fontId="36" fillId="32" borderId="45"/>
    <xf numFmtId="271" fontId="36" fillId="0" borderId="46"/>
    <xf numFmtId="271" fontId="36" fillId="32" borderId="46"/>
    <xf numFmtId="0" fontId="36" fillId="0" borderId="47" applyNumberFormat="0"/>
    <xf numFmtId="0" fontId="36" fillId="0" borderId="47" applyNumberFormat="0"/>
    <xf numFmtId="269" fontId="36" fillId="0" borderId="45"/>
    <xf numFmtId="269" fontId="36" fillId="32" borderId="45"/>
    <xf numFmtId="269" fontId="131" fillId="33" borderId="45"/>
    <xf numFmtId="269" fontId="131" fillId="33" borderId="46"/>
    <xf numFmtId="268" fontId="131" fillId="33" borderId="45"/>
    <xf numFmtId="267" fontId="131" fillId="33" borderId="45"/>
    <xf numFmtId="267" fontId="131" fillId="33" borderId="46"/>
    <xf numFmtId="0" fontId="131" fillId="33" borderId="45" applyNumberFormat="0">
      <alignment horizontal="right"/>
    </xf>
    <xf numFmtId="0" fontId="36" fillId="0" borderId="0" applyNumberFormat="0" applyFont="0" applyFill="0" applyBorder="0" applyAlignment="0" applyProtection="0"/>
    <xf numFmtId="0" fontId="36" fillId="0" borderId="9" applyNumberFormat="0" applyFont="0" applyFill="0" applyProtection="0">
      <alignment horizontal="center"/>
    </xf>
    <xf numFmtId="0" fontId="36" fillId="0" borderId="9" applyNumberFormat="0" applyFont="0" applyFill="0" applyProtection="0">
      <alignment horizontal="center"/>
    </xf>
    <xf numFmtId="0" fontId="36" fillId="0" borderId="9" applyNumberFormat="0" applyFont="0" applyFill="0" applyProtection="0">
      <alignment horizontal="center"/>
    </xf>
    <xf numFmtId="0" fontId="135" fillId="25" borderId="41" applyNumberFormat="0" applyAlignment="0" applyProtection="0"/>
    <xf numFmtId="0" fontId="135" fillId="25" borderId="41" applyNumberFormat="0" applyAlignment="0" applyProtection="0"/>
    <xf numFmtId="0" fontId="72" fillId="0" borderId="42" applyNumberFormat="0" applyFill="0" applyProtection="0">
      <alignment horizontal="right"/>
    </xf>
    <xf numFmtId="0" fontId="72" fillId="0" borderId="42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267" fontId="36" fillId="0" borderId="0" applyFill="0" applyBorder="0" applyAlignment="0" applyProtection="0"/>
    <xf numFmtId="0" fontId="36" fillId="19" borderId="45" applyNumberFormat="0">
      <alignment horizontal="left"/>
    </xf>
    <xf numFmtId="0" fontId="36" fillId="32" borderId="45" applyNumberFormat="0">
      <alignment horizontal="left"/>
    </xf>
    <xf numFmtId="0" fontId="36" fillId="19" borderId="45" applyNumberFormat="0">
      <alignment horizontal="right"/>
    </xf>
    <xf numFmtId="0" fontId="36" fillId="32" borderId="45" applyNumberFormat="0">
      <alignment horizontal="right"/>
    </xf>
    <xf numFmtId="0" fontId="36" fillId="19" borderId="45" applyNumberFormat="0">
      <alignment horizontal="center"/>
    </xf>
    <xf numFmtId="0" fontId="36" fillId="32" borderId="45" applyNumberFormat="0">
      <alignment horizontal="center"/>
    </xf>
    <xf numFmtId="0" fontId="36" fillId="0" borderId="47" applyNumberFormat="0"/>
    <xf numFmtId="0" fontId="36" fillId="0" borderId="47" applyNumberFormat="0"/>
    <xf numFmtId="0" fontId="36" fillId="0" borderId="45" applyNumberFormat="0"/>
    <xf numFmtId="0" fontId="36" fillId="0" borderId="42" applyNumberFormat="0"/>
    <xf numFmtId="0" fontId="36" fillId="0" borderId="42" applyNumberFormat="0"/>
    <xf numFmtId="0" fontId="36" fillId="0" borderId="43" applyNumberFormat="0"/>
    <xf numFmtId="0" fontId="36" fillId="0" borderId="43" applyNumberFormat="0"/>
    <xf numFmtId="272" fontId="36" fillId="32" borderId="45">
      <alignment horizontal="left"/>
    </xf>
    <xf numFmtId="272" fontId="36" fillId="19" borderId="45">
      <alignment horizontal="left"/>
    </xf>
    <xf numFmtId="0" fontId="72" fillId="32" borderId="45" applyNumberFormat="0" applyProtection="0">
      <alignment horizontal="right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270" fontId="72" fillId="0" borderId="45" applyFill="0" applyProtection="0">
      <alignment horizontal="right"/>
    </xf>
    <xf numFmtId="270" fontId="72" fillId="32" borderId="45" applyProtection="0">
      <alignment horizontal="right"/>
    </xf>
    <xf numFmtId="268" fontId="36" fillId="0" borderId="45" applyFont="0" applyFill="0" applyAlignment="0" applyProtection="0"/>
    <xf numFmtId="268" fontId="36" fillId="32" borderId="45" applyFont="0" applyAlignment="0" applyProtection="0"/>
    <xf numFmtId="269" fontId="36" fillId="0" borderId="46" applyFont="0" applyFill="0" applyAlignment="0" applyProtection="0"/>
    <xf numFmtId="269" fontId="36" fillId="32" borderId="46" applyFont="0" applyAlignment="0" applyProtection="0"/>
    <xf numFmtId="0" fontId="36" fillId="0" borderId="47" applyNumberFormat="0"/>
    <xf numFmtId="0" fontId="36" fillId="0" borderId="47" applyNumberFormat="0"/>
    <xf numFmtId="0" fontId="36" fillId="0" borderId="0" applyNumberFormat="0"/>
    <xf numFmtId="0" fontId="36" fillId="0" borderId="48" applyNumberFormat="0"/>
    <xf numFmtId="0" fontId="36" fillId="0" borderId="48" applyNumberFormat="0"/>
    <xf numFmtId="0" fontId="36" fillId="0" borderId="49" applyNumberFormat="0"/>
    <xf numFmtId="0" fontId="36" fillId="0" borderId="49" applyNumberFormat="0"/>
    <xf numFmtId="0" fontId="36" fillId="0" borderId="45" applyNumberFormat="0"/>
    <xf numFmtId="0" fontId="36" fillId="0" borderId="46" applyNumberFormat="0"/>
    <xf numFmtId="0" fontId="36" fillId="0" borderId="50" applyNumberFormat="0"/>
    <xf numFmtId="0" fontId="36" fillId="0" borderId="51" applyNumberFormat="0"/>
    <xf numFmtId="273" fontId="36" fillId="0" borderId="46" applyFont="0" applyFill="0" applyProtection="0">
      <alignment horizontal="right"/>
    </xf>
    <xf numFmtId="0" fontId="72" fillId="0" borderId="45" applyNumberFormat="0" applyFill="0" applyProtection="0">
      <alignment horizontal="right"/>
    </xf>
    <xf numFmtId="0" fontId="72" fillId="32" borderId="45" applyNumberFormat="0" applyProtection="0">
      <alignment horizontal="right"/>
    </xf>
    <xf numFmtId="268" fontId="36" fillId="0" borderId="45" applyFont="0" applyFill="0" applyAlignment="0" applyProtection="0"/>
    <xf numFmtId="268" fontId="36" fillId="32" borderId="45" applyFont="0" applyAlignment="0" applyProtection="0"/>
    <xf numFmtId="269" fontId="36" fillId="0" borderId="46" applyFont="0" applyFill="0" applyAlignment="0" applyProtection="0"/>
    <xf numFmtId="269" fontId="36" fillId="32" borderId="46" applyFont="0" applyAlignment="0" applyProtection="0"/>
    <xf numFmtId="271" fontId="36" fillId="0" borderId="45" applyFont="0" applyFill="0" applyAlignment="0" applyProtection="0"/>
    <xf numFmtId="267" fontId="36" fillId="32" borderId="45" applyFont="0" applyAlignment="0" applyProtection="0"/>
    <xf numFmtId="271" fontId="36" fillId="0" borderId="46" applyFont="0" applyFill="0" applyAlignment="0" applyProtection="0"/>
    <xf numFmtId="271" fontId="36" fillId="32" borderId="46" applyFont="0" applyAlignment="0" applyProtection="0"/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269" fontId="36" fillId="0" borderId="45" applyFont="0" applyFill="0" applyAlignment="0" applyProtection="0"/>
    <xf numFmtId="269" fontId="36" fillId="32" borderId="45" applyFont="0" applyAlignment="0" applyProtection="0"/>
    <xf numFmtId="269" fontId="131" fillId="33" borderId="45" applyAlignment="0" applyProtection="0"/>
    <xf numFmtId="269" fontId="131" fillId="33" borderId="46" applyAlignment="0" applyProtection="0"/>
    <xf numFmtId="268" fontId="131" fillId="33" borderId="45" applyAlignment="0" applyProtection="0"/>
    <xf numFmtId="267" fontId="131" fillId="33" borderId="45" applyAlignment="0" applyProtection="0"/>
    <xf numFmtId="267" fontId="131" fillId="33" borderId="46" applyAlignment="0" applyProtection="0"/>
    <xf numFmtId="0" fontId="131" fillId="33" borderId="45" applyNumberFormat="0" applyProtection="0">
      <alignment horizontal="right"/>
    </xf>
    <xf numFmtId="0" fontId="36" fillId="19" borderId="45" applyNumberFormat="0" applyFont="0" applyProtection="0">
      <alignment horizontal="left"/>
    </xf>
    <xf numFmtId="0" fontId="36" fillId="32" borderId="45" applyNumberFormat="0" applyFont="0" applyProtection="0">
      <alignment horizontal="left"/>
    </xf>
    <xf numFmtId="0" fontId="36" fillId="19" borderId="45" applyNumberFormat="0" applyFont="0" applyProtection="0">
      <alignment horizontal="right"/>
    </xf>
    <xf numFmtId="0" fontId="36" fillId="32" borderId="45" applyNumberFormat="0" applyFont="0" applyProtection="0">
      <alignment horizontal="right"/>
    </xf>
    <xf numFmtId="0" fontId="36" fillId="19" borderId="45" applyNumberFormat="0" applyFont="0" applyProtection="0">
      <alignment horizontal="center"/>
    </xf>
    <xf numFmtId="0" fontId="36" fillId="32" borderId="45" applyNumberFormat="0" applyFont="0" applyProtection="0">
      <alignment horizontal="center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0" fontId="36" fillId="0" borderId="45" applyNumberFormat="0" applyFont="0" applyFill="0" applyAlignment="0" applyProtection="0"/>
    <xf numFmtId="0" fontId="36" fillId="0" borderId="42" applyNumberFormat="0" applyFont="0" applyFill="0" applyAlignment="0" applyProtection="0"/>
    <xf numFmtId="0" fontId="36" fillId="0" borderId="42" applyNumberFormat="0" applyFont="0" applyFill="0" applyAlignment="0" applyProtection="0"/>
    <xf numFmtId="0" fontId="36" fillId="0" borderId="43" applyNumberFormat="0" applyFont="0" applyFill="0" applyAlignment="0" applyProtection="0"/>
    <xf numFmtId="0" fontId="36" fillId="0" borderId="43" applyNumberFormat="0" applyFont="0" applyFill="0" applyAlignment="0" applyProtection="0"/>
    <xf numFmtId="272" fontId="36" fillId="32" borderId="45" applyFont="0" applyProtection="0">
      <alignment horizontal="left"/>
    </xf>
    <xf numFmtId="272" fontId="36" fillId="19" borderId="45" applyFont="0" applyProtection="0">
      <alignment horizontal="left"/>
    </xf>
    <xf numFmtId="0" fontId="136" fillId="19" borderId="45" applyNumberFormat="0" applyProtection="0">
      <alignment horizontal="center"/>
    </xf>
    <xf numFmtId="0" fontId="136" fillId="32" borderId="45" applyNumberFormat="0" applyProtection="0">
      <alignment horizontal="center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0" fontId="36" fillId="0" borderId="0" applyNumberFormat="0" applyFont="0" applyFill="0" applyAlignment="0" applyProtection="0"/>
    <xf numFmtId="0" fontId="36" fillId="0" borderId="48" applyNumberFormat="0" applyFont="0" applyFill="0" applyAlignment="0" applyProtection="0"/>
    <xf numFmtId="0" fontId="36" fillId="0" borderId="48" applyNumberFormat="0" applyFont="0" applyFill="0" applyAlignment="0" applyProtection="0"/>
    <xf numFmtId="0" fontId="36" fillId="0" borderId="49" applyNumberFormat="0" applyFont="0" applyFill="0" applyAlignment="0" applyProtection="0"/>
    <xf numFmtId="0" fontId="36" fillId="0" borderId="49" applyNumberFormat="0" applyFont="0" applyFill="0" applyAlignment="0" applyProtection="0"/>
    <xf numFmtId="0" fontId="36" fillId="0" borderId="45" applyNumberFormat="0" applyFont="0" applyFill="0" applyAlignment="0" applyProtection="0"/>
    <xf numFmtId="0" fontId="36" fillId="0" borderId="46" applyNumberFormat="0" applyFont="0" applyFill="0" applyAlignment="0" applyProtection="0"/>
    <xf numFmtId="0" fontId="36" fillId="0" borderId="50" applyNumberFormat="0" applyFont="0" applyFill="0" applyAlignment="0" applyProtection="0"/>
    <xf numFmtId="0" fontId="36" fillId="0" borderId="51" applyNumberFormat="0" applyFont="0" applyFill="0" applyAlignment="0" applyProtection="0"/>
    <xf numFmtId="0" fontId="137" fillId="0" borderId="0" applyNumberFormat="0" applyBorder="0" applyAlignment="0"/>
    <xf numFmtId="0" fontId="138" fillId="0" borderId="0" applyNumberFormat="0" applyBorder="0" applyAlignment="0"/>
    <xf numFmtId="0" fontId="73" fillId="0" borderId="0"/>
    <xf numFmtId="0" fontId="74" fillId="0" borderId="39"/>
    <xf numFmtId="0" fontId="119" fillId="0" borderId="0"/>
    <xf numFmtId="0" fontId="103" fillId="0" borderId="0">
      <alignment horizontal="center"/>
    </xf>
    <xf numFmtId="0" fontId="39" fillId="0" borderId="0">
      <alignment horizontal="left" indent="1"/>
    </xf>
    <xf numFmtId="38" fontId="65" fillId="0" borderId="13"/>
    <xf numFmtId="0" fontId="39" fillId="0" borderId="0">
      <alignment horizontal="left" indent="1"/>
    </xf>
    <xf numFmtId="0" fontId="74" fillId="0" borderId="13"/>
    <xf numFmtId="0" fontId="74" fillId="0" borderId="13"/>
    <xf numFmtId="0" fontId="74" fillId="0" borderId="3" applyFont="0">
      <alignment horizontal="centerContinuous"/>
    </xf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1" fontId="74" fillId="0" borderId="3">
      <alignment horizontal="centerContinuous"/>
    </xf>
    <xf numFmtId="1" fontId="74" fillId="0" borderId="3">
      <alignment horizontal="centerContinuous"/>
    </xf>
    <xf numFmtId="0" fontId="74" fillId="0" borderId="3">
      <alignment horizontal="center"/>
    </xf>
    <xf numFmtId="0" fontId="74" fillId="0" borderId="3">
      <alignment horizontal="center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9" fontId="74" fillId="0" borderId="0">
      <alignment horizontal="centerContinuous"/>
    </xf>
    <xf numFmtId="0" fontId="5" fillId="0" borderId="0" applyFill="0" applyBorder="0" applyProtection="0">
      <alignment horizontal="center" vertical="center"/>
    </xf>
    <xf numFmtId="0" fontId="139" fillId="0" borderId="40"/>
    <xf numFmtId="0" fontId="139" fillId="0" borderId="40"/>
    <xf numFmtId="0" fontId="139" fillId="0" borderId="40"/>
    <xf numFmtId="0" fontId="5" fillId="0" borderId="0" applyFill="0" applyBorder="0" applyProtection="0"/>
    <xf numFmtId="0" fontId="19" fillId="16" borderId="43" applyNumberFormat="0" applyBorder="0" applyAlignment="0" applyProtection="0"/>
    <xf numFmtId="0" fontId="19" fillId="16" borderId="25" applyNumberFormat="0" applyBorder="0" applyAlignment="0" applyProtection="0"/>
    <xf numFmtId="0" fontId="23" fillId="17" borderId="43" applyNumberFormat="0" applyBorder="0" applyAlignment="0" applyProtection="0"/>
    <xf numFmtId="0" fontId="23" fillId="17" borderId="25" applyNumberFormat="0" applyBorder="0" applyAlignment="0" applyProtection="0"/>
    <xf numFmtId="0" fontId="72" fillId="0" borderId="0" applyFill="0" applyBorder="0" applyProtection="0">
      <alignment horizontal="left"/>
    </xf>
    <xf numFmtId="0" fontId="140" fillId="0" borderId="0" applyFill="0" applyBorder="0" applyProtection="0">
      <alignment horizontal="left" vertical="top"/>
    </xf>
    <xf numFmtId="49" fontId="91" fillId="0" borderId="0" applyFill="0" applyBorder="0" applyAlignment="0"/>
    <xf numFmtId="229" fontId="36" fillId="0" borderId="0" applyFill="0" applyBorder="0" applyAlignment="0"/>
    <xf numFmtId="201" fontId="36" fillId="0" borderId="0" applyFill="0" applyBorder="0" applyAlignment="0"/>
    <xf numFmtId="0" fontId="74" fillId="0" borderId="3" applyFont="0" applyBorder="0" applyAlignment="0">
      <alignment horizontal="centerContinuous"/>
    </xf>
    <xf numFmtId="0" fontId="74" fillId="0" borderId="3" applyFont="0" applyBorder="0" applyAlignme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40" fontId="141" fillId="0" borderId="0"/>
    <xf numFmtId="0" fontId="123" fillId="0" borderId="3">
      <alignment horizontal="centerContinuous"/>
    </xf>
    <xf numFmtId="0" fontId="123" fillId="0" borderId="3">
      <alignment horizontal="centerContinuous"/>
    </xf>
    <xf numFmtId="0" fontId="119" fillId="0" borderId="0"/>
    <xf numFmtId="0" fontId="142" fillId="0" borderId="3" applyNumberFormat="0" applyFill="0" applyAlignment="0" applyProtection="0"/>
    <xf numFmtId="0" fontId="142" fillId="0" borderId="3" applyNumberFormat="0" applyFill="0" applyAlignment="0" applyProtection="0"/>
    <xf numFmtId="0" fontId="62" fillId="0" borderId="3" applyNumberFormat="0" applyFill="0" applyAlignment="0" applyProtection="0"/>
    <xf numFmtId="0" fontId="71" fillId="0" borderId="32"/>
    <xf numFmtId="0" fontId="71" fillId="0" borderId="32"/>
    <xf numFmtId="0" fontId="82" fillId="0" borderId="19" applyNumberFormat="0" applyFont="0" applyFill="0" applyAlignment="0" applyProtection="0"/>
    <xf numFmtId="0" fontId="73" fillId="0" borderId="32"/>
    <xf numFmtId="0" fontId="73" fillId="0" borderId="32"/>
    <xf numFmtId="3" fontId="143" fillId="0" borderId="0"/>
    <xf numFmtId="0" fontId="74" fillId="0" borderId="0">
      <alignment horizontal="centerContinuous"/>
    </xf>
    <xf numFmtId="0" fontId="74" fillId="0" borderId="0">
      <alignment horizontal="centerContinuous"/>
    </xf>
    <xf numFmtId="174" fontId="63" fillId="0" borderId="0" applyFont="0" applyFill="0" applyBorder="0">
      <alignment horizontal="right"/>
    </xf>
    <xf numFmtId="174" fontId="63" fillId="0" borderId="0" applyFont="0" applyFill="0" applyBorder="0">
      <alignment horizontal="right"/>
    </xf>
    <xf numFmtId="174" fontId="63" fillId="0" borderId="0" applyFont="0" applyFill="0" applyBorder="0">
      <alignment horizontal="right"/>
    </xf>
    <xf numFmtId="0" fontId="71" fillId="0" borderId="0"/>
    <xf numFmtId="0" fontId="36" fillId="0" borderId="2" applyNumberFormat="0" applyFont="0" applyFill="0" applyAlignment="0" applyProtection="0"/>
    <xf numFmtId="0" fontId="36" fillId="0" borderId="2" applyNumberFormat="0" applyFont="0" applyFill="0" applyAlignment="0" applyProtection="0"/>
    <xf numFmtId="37" fontId="6" fillId="2" borderId="0" applyNumberFormat="0" applyBorder="0" applyAlignment="0" applyProtection="0"/>
    <xf numFmtId="37" fontId="6" fillId="0" borderId="0"/>
    <xf numFmtId="3" fontId="144" fillId="0" borderId="33" applyProtection="0"/>
    <xf numFmtId="3" fontId="145" fillId="0" borderId="0">
      <protection locked="0"/>
    </xf>
    <xf numFmtId="0" fontId="71" fillId="0" borderId="0"/>
    <xf numFmtId="168" fontId="110" fillId="0" borderId="0" applyFont="0" applyFill="0" applyBorder="0" applyAlignment="0" applyProtection="0"/>
    <xf numFmtId="170" fontId="110" fillId="0" borderId="0" applyFont="0" applyFill="0" applyBorder="0" applyAlignment="0" applyProtection="0"/>
    <xf numFmtId="0" fontId="64" fillId="0" borderId="0"/>
    <xf numFmtId="0" fontId="72" fillId="11" borderId="0">
      <alignment horizontal="center"/>
    </xf>
    <xf numFmtId="274" fontId="36" fillId="0" borderId="0" applyFont="0" applyFill="0" applyBorder="0" applyAlignment="0" applyProtection="0"/>
    <xf numFmtId="275" fontId="36" fillId="0" borderId="0" applyFont="0" applyFill="0" applyBorder="0" applyAlignment="0" applyProtection="0"/>
    <xf numFmtId="0" fontId="64" fillId="0" borderId="0"/>
    <xf numFmtId="276" fontId="146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1" fillId="0" borderId="0" applyFont="0" applyFill="0" applyBorder="0" applyAlignment="0" applyProtection="0"/>
    <xf numFmtId="195" fontId="2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1" fillId="0" borderId="0" applyFont="0" applyFill="0" applyBorder="0" applyAlignment="0" applyProtection="0"/>
    <xf numFmtId="196" fontId="2" fillId="0" borderId="0" applyFont="0" applyFill="0" applyBorder="0" applyAlignment="0" applyProtection="0"/>
    <xf numFmtId="277" fontId="83" fillId="0" borderId="0" applyFont="0" applyFill="0" applyBorder="0" applyAlignment="0" applyProtection="0"/>
    <xf numFmtId="197" fontId="57" fillId="0" borderId="0" applyFont="0" applyFill="0" applyBorder="0" applyAlignment="0" applyProtection="0">
      <protection locked="0"/>
    </xf>
    <xf numFmtId="197" fontId="57" fillId="0" borderId="0" applyFont="0" applyFill="0" applyBorder="0" applyAlignment="0" applyProtection="0">
      <protection locked="0"/>
    </xf>
    <xf numFmtId="197" fontId="57" fillId="0" borderId="0" applyFont="0" applyFill="0" applyBorder="0" applyAlignment="0" applyProtection="0">
      <protection locked="0"/>
    </xf>
    <xf numFmtId="197" fontId="20" fillId="0" borderId="0" applyFont="0" applyFill="0" applyBorder="0" applyAlignment="0" applyProtection="0">
      <protection locked="0"/>
    </xf>
    <xf numFmtId="0" fontId="74" fillId="0" borderId="0">
      <alignment horizontal="centerContinuous"/>
    </xf>
    <xf numFmtId="9" fontId="75" fillId="0" borderId="0">
      <alignment horizontal="left"/>
    </xf>
    <xf numFmtId="0" fontId="75" fillId="0" borderId="0">
      <alignment horizontal="left"/>
    </xf>
    <xf numFmtId="0" fontId="147" fillId="0" borderId="0"/>
    <xf numFmtId="171" fontId="64" fillId="0" borderId="0" applyFont="0" applyFill="0" applyBorder="0" applyAlignment="0" applyProtection="0"/>
    <xf numFmtId="169" fontId="64" fillId="0" borderId="0" applyFont="0" applyFill="0" applyBorder="0" applyAlignment="0" applyProtection="0"/>
    <xf numFmtId="0" fontId="65" fillId="0" borderId="0"/>
    <xf numFmtId="170" fontId="64" fillId="0" borderId="0" applyFont="0" applyFill="0" applyBorder="0" applyAlignment="0" applyProtection="0"/>
    <xf numFmtId="168" fontId="64" fillId="0" borderId="0" applyFont="0" applyFill="0" applyBorder="0" applyAlignment="0" applyProtection="0"/>
    <xf numFmtId="0" fontId="3" fillId="0" borderId="0"/>
    <xf numFmtId="0" fontId="1" fillId="0" borderId="0"/>
  </cellStyleXfs>
  <cellXfs count="303">
    <xf numFmtId="0" fontId="0" fillId="0" borderId="0" xfId="0"/>
    <xf numFmtId="0" fontId="5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7" fillId="0" borderId="0" xfId="0" applyFont="1"/>
    <xf numFmtId="0" fontId="6" fillId="0" borderId="0" xfId="0" applyFont="1"/>
    <xf numFmtId="0" fontId="8" fillId="0" borderId="0" xfId="0" applyFont="1"/>
    <xf numFmtId="0" fontId="6" fillId="0" borderId="0" xfId="0" applyFont="1" applyAlignment="1">
      <alignment horizontal="right"/>
    </xf>
    <xf numFmtId="174" fontId="6" fillId="0" borderId="0" xfId="1" applyNumberFormat="1" applyFont="1" applyAlignment="1">
      <alignment horizontal="right"/>
    </xf>
    <xf numFmtId="173" fontId="6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11" fillId="0" borderId="0" xfId="0" applyFont="1" applyAlignment="1">
      <alignment horizontal="center"/>
    </xf>
    <xf numFmtId="174" fontId="11" fillId="0" borderId="0" xfId="1" applyNumberFormat="1" applyFont="1" applyFill="1" applyBorder="1"/>
    <xf numFmtId="170" fontId="11" fillId="0" borderId="0" xfId="2" applyFont="1"/>
    <xf numFmtId="10" fontId="11" fillId="0" borderId="0" xfId="3" applyNumberFormat="1" applyFont="1"/>
    <xf numFmtId="170" fontId="11" fillId="0" borderId="0" xfId="2" applyFont="1" applyFill="1" applyBorder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0" fontId="10" fillId="0" borderId="0" xfId="3" applyNumberFormat="1" applyFont="1" applyAlignment="1">
      <alignment horizontal="right"/>
    </xf>
    <xf numFmtId="10" fontId="10" fillId="0" borderId="0" xfId="3" applyNumberFormat="1" applyFont="1" applyBorder="1" applyAlignment="1">
      <alignment horizontal="right"/>
    </xf>
    <xf numFmtId="170" fontId="10" fillId="0" borderId="0" xfId="2" applyFont="1" applyAlignment="1">
      <alignment horizontal="right"/>
    </xf>
    <xf numFmtId="173" fontId="10" fillId="0" borderId="0" xfId="2" applyNumberFormat="1" applyFont="1" applyAlignment="1">
      <alignment horizontal="right"/>
    </xf>
    <xf numFmtId="174" fontId="10" fillId="0" borderId="3" xfId="1" applyNumberFormat="1" applyFont="1" applyBorder="1" applyAlignment="1">
      <alignment horizontal="right"/>
    </xf>
    <xf numFmtId="174" fontId="10" fillId="0" borderId="0" xfId="1" applyNumberFormat="1" applyFont="1" applyAlignment="1">
      <alignment horizontal="right"/>
    </xf>
    <xf numFmtId="174" fontId="11" fillId="0" borderId="5" xfId="1" applyNumberFormat="1" applyFont="1" applyBorder="1"/>
    <xf numFmtId="0" fontId="5" fillId="0" borderId="1" xfId="0" applyFont="1" applyBorder="1" applyAlignment="1">
      <alignment horizontal="center"/>
    </xf>
    <xf numFmtId="0" fontId="15" fillId="0" borderId="0" xfId="0" applyFont="1"/>
    <xf numFmtId="0" fontId="9" fillId="0" borderId="1" xfId="0" applyFont="1" applyBorder="1" applyAlignment="1">
      <alignment horizontal="center"/>
    </xf>
    <xf numFmtId="0" fontId="5" fillId="0" borderId="0" xfId="0" applyFont="1" applyProtection="1">
      <protection locked="0"/>
    </xf>
    <xf numFmtId="3" fontId="0" fillId="0" borderId="0" xfId="0" applyNumberFormat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2" xfId="0" applyFont="1" applyBorder="1"/>
    <xf numFmtId="0" fontId="5" fillId="0" borderId="13" xfId="0" applyFont="1" applyBorder="1"/>
    <xf numFmtId="0" fontId="11" fillId="0" borderId="13" xfId="0" applyFont="1" applyBorder="1"/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right"/>
    </xf>
    <xf numFmtId="0" fontId="5" fillId="0" borderId="15" xfId="0" applyFont="1" applyBorder="1"/>
    <xf numFmtId="0" fontId="11" fillId="0" borderId="7" xfId="0" applyFont="1" applyBorder="1"/>
    <xf numFmtId="0" fontId="5" fillId="0" borderId="16" xfId="0" applyFont="1" applyBorder="1"/>
    <xf numFmtId="0" fontId="5" fillId="0" borderId="3" xfId="0" applyFont="1" applyBorder="1"/>
    <xf numFmtId="0" fontId="0" fillId="3" borderId="0" xfId="0" applyFill="1"/>
    <xf numFmtId="0" fontId="5" fillId="0" borderId="1" xfId="0" applyFont="1" applyBorder="1" applyAlignment="1" applyProtection="1">
      <alignment horizontal="center"/>
      <protection locked="0"/>
    </xf>
    <xf numFmtId="10" fontId="16" fillId="3" borderId="7" xfId="3" applyNumberFormat="1" applyFont="1" applyFill="1" applyBorder="1" applyAlignment="1" applyProtection="1">
      <alignment horizontal="center"/>
      <protection locked="0"/>
    </xf>
    <xf numFmtId="173" fontId="11" fillId="0" borderId="0" xfId="2" applyNumberFormat="1" applyFont="1" applyFill="1" applyBorder="1" applyProtection="1"/>
    <xf numFmtId="174" fontId="11" fillId="0" borderId="0" xfId="1" applyNumberFormat="1" applyFont="1" applyFill="1" applyBorder="1" applyProtection="1"/>
    <xf numFmtId="174" fontId="11" fillId="0" borderId="2" xfId="1" applyNumberFormat="1" applyFont="1" applyFill="1" applyBorder="1" applyProtection="1"/>
    <xf numFmtId="170" fontId="16" fillId="2" borderId="7" xfId="2" applyFont="1" applyFill="1" applyBorder="1" applyAlignment="1" applyProtection="1">
      <alignment horizontal="center"/>
      <protection locked="0"/>
    </xf>
    <xf numFmtId="169" fontId="11" fillId="0" borderId="0" xfId="1" applyNumberFormat="1" applyFont="1"/>
    <xf numFmtId="169" fontId="11" fillId="0" borderId="0" xfId="0" applyNumberFormat="1" applyFont="1"/>
    <xf numFmtId="0" fontId="9" fillId="0" borderId="0" xfId="0" applyFont="1" applyProtection="1">
      <protection locked="0"/>
    </xf>
    <xf numFmtId="0" fontId="0" fillId="0" borderId="15" xfId="0" applyBorder="1"/>
    <xf numFmtId="0" fontId="17" fillId="0" borderId="0" xfId="0" applyFont="1"/>
    <xf numFmtId="10" fontId="10" fillId="0" borderId="2" xfId="3" applyNumberFormat="1" applyFont="1" applyFill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3" fontId="10" fillId="0" borderId="0" xfId="1" applyNumberFormat="1" applyFont="1" applyAlignment="1">
      <alignment horizontal="center"/>
    </xf>
    <xf numFmtId="170" fontId="16" fillId="2" borderId="0" xfId="2" applyFont="1" applyFill="1" applyAlignment="1" applyProtection="1">
      <alignment horizontal="right"/>
      <protection locked="0"/>
    </xf>
    <xf numFmtId="170" fontId="16" fillId="2" borderId="3" xfId="2" applyFont="1" applyFill="1" applyBorder="1" applyAlignment="1" applyProtection="1">
      <alignment horizontal="right"/>
      <protection locked="0"/>
    </xf>
    <xf numFmtId="1" fontId="16" fillId="2" borderId="0" xfId="1" applyNumberFormat="1" applyFont="1" applyFill="1" applyAlignment="1" applyProtection="1">
      <alignment horizontal="center"/>
    </xf>
    <xf numFmtId="0" fontId="18" fillId="0" borderId="0" xfId="0" applyFont="1"/>
    <xf numFmtId="173" fontId="17" fillId="0" borderId="0" xfId="1" applyNumberFormat="1" applyFont="1" applyAlignment="1"/>
    <xf numFmtId="173" fontId="10" fillId="0" borderId="0" xfId="0" applyNumberFormat="1" applyFont="1"/>
    <xf numFmtId="169" fontId="17" fillId="0" borderId="2" xfId="1" applyNumberFormat="1" applyFont="1" applyBorder="1" applyAlignment="1"/>
    <xf numFmtId="169" fontId="10" fillId="0" borderId="2" xfId="0" applyNumberFormat="1" applyFont="1" applyBorder="1"/>
    <xf numFmtId="169" fontId="10" fillId="0" borderId="0" xfId="0" applyNumberFormat="1" applyFont="1"/>
    <xf numFmtId="169" fontId="10" fillId="0" borderId="0" xfId="1" applyNumberFormat="1" applyFont="1"/>
    <xf numFmtId="169" fontId="17" fillId="0" borderId="0" xfId="1" applyNumberFormat="1" applyFont="1"/>
    <xf numFmtId="169" fontId="17" fillId="0" borderId="2" xfId="0" applyNumberFormat="1" applyFont="1" applyBorder="1"/>
    <xf numFmtId="169" fontId="10" fillId="0" borderId="2" xfId="1" applyNumberFormat="1" applyFont="1" applyBorder="1"/>
    <xf numFmtId="169" fontId="11" fillId="0" borderId="2" xfId="0" applyNumberFormat="1" applyFont="1" applyBorder="1"/>
    <xf numFmtId="169" fontId="17" fillId="0" borderId="2" xfId="1" applyNumberFormat="1" applyFont="1" applyBorder="1"/>
    <xf numFmtId="169" fontId="17" fillId="0" borderId="0" xfId="1" applyNumberFormat="1" applyFont="1" applyBorder="1"/>
    <xf numFmtId="171" fontId="16" fillId="3" borderId="0" xfId="1" applyFont="1" applyFill="1" applyBorder="1" applyAlignment="1" applyProtection="1">
      <alignment horizontal="center"/>
    </xf>
    <xf numFmtId="0" fontId="13" fillId="0" borderId="0" xfId="0" applyFont="1"/>
    <xf numFmtId="0" fontId="14" fillId="0" borderId="0" xfId="0" applyFont="1"/>
    <xf numFmtId="0" fontId="0" fillId="4" borderId="0" xfId="0" applyFill="1"/>
    <xf numFmtId="0" fontId="16" fillId="3" borderId="0" xfId="0" applyFont="1" applyFill="1"/>
    <xf numFmtId="170" fontId="16" fillId="3" borderId="0" xfId="2" applyFont="1" applyFill="1" applyBorder="1" applyAlignment="1" applyProtection="1">
      <alignment horizontal="center"/>
    </xf>
    <xf numFmtId="171" fontId="16" fillId="3" borderId="2" xfId="1" applyFont="1" applyFill="1" applyBorder="1" applyAlignment="1" applyProtection="1">
      <alignment horizontal="center"/>
    </xf>
    <xf numFmtId="175" fontId="16" fillId="3" borderId="0" xfId="1" applyNumberFormat="1" applyFont="1" applyFill="1" applyBorder="1" applyAlignment="1" applyProtection="1">
      <alignment horizontal="center"/>
      <protection locked="0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8" xfId="0" applyBorder="1"/>
    <xf numFmtId="0" fontId="26" fillId="0" borderId="15" xfId="4" applyFont="1" applyBorder="1"/>
    <xf numFmtId="0" fontId="27" fillId="0" borderId="0" xfId="4" applyFont="1"/>
    <xf numFmtId="0" fontId="26" fillId="0" borderId="8" xfId="4" applyFont="1" applyBorder="1" applyAlignment="1">
      <alignment horizontal="center"/>
    </xf>
    <xf numFmtId="0" fontId="28" fillId="0" borderId="15" xfId="0" applyFont="1" applyBorder="1"/>
    <xf numFmtId="0" fontId="27" fillId="0" borderId="15" xfId="4" applyFont="1" applyBorder="1"/>
    <xf numFmtId="37" fontId="30" fillId="0" borderId="0" xfId="5" applyNumberFormat="1" applyFont="1" applyFill="1" applyBorder="1"/>
    <xf numFmtId="0" fontId="28" fillId="0" borderId="15" xfId="4" applyFont="1" applyBorder="1"/>
    <xf numFmtId="0" fontId="28" fillId="0" borderId="16" xfId="0" applyFont="1" applyBorder="1"/>
    <xf numFmtId="164" fontId="28" fillId="0" borderId="8" xfId="0" applyNumberFormat="1" applyFont="1" applyBorder="1"/>
    <xf numFmtId="169" fontId="27" fillId="0" borderId="0" xfId="4" applyNumberFormat="1" applyFont="1"/>
    <xf numFmtId="0" fontId="25" fillId="0" borderId="0" xfId="0" applyFont="1"/>
    <xf numFmtId="0" fontId="24" fillId="0" borderId="0" xfId="4" applyFont="1"/>
    <xf numFmtId="164" fontId="24" fillId="0" borderId="0" xfId="4" applyNumberFormat="1" applyFont="1"/>
    <xf numFmtId="0" fontId="31" fillId="0" borderId="0" xfId="0" applyFont="1"/>
    <xf numFmtId="0" fontId="28" fillId="0" borderId="0" xfId="0" applyFont="1"/>
    <xf numFmtId="164" fontId="28" fillId="0" borderId="0" xfId="0" applyNumberFormat="1" applyFont="1"/>
    <xf numFmtId="170" fontId="28" fillId="0" borderId="0" xfId="0" applyNumberFormat="1" applyFont="1"/>
    <xf numFmtId="178" fontId="32" fillId="0" borderId="0" xfId="0" applyNumberFormat="1" applyFont="1"/>
    <xf numFmtId="173" fontId="28" fillId="0" borderId="0" xfId="0" applyNumberFormat="1" applyFont="1" applyAlignment="1">
      <alignment horizontal="right"/>
    </xf>
    <xf numFmtId="37" fontId="3" fillId="0" borderId="0" xfId="0" applyNumberFormat="1" applyFont="1" applyAlignment="1">
      <alignment horizontal="right"/>
    </xf>
    <xf numFmtId="173" fontId="30" fillId="0" borderId="0" xfId="7" applyNumberFormat="1" applyFont="1" applyFill="1"/>
    <xf numFmtId="174" fontId="28" fillId="0" borderId="0" xfId="5" applyNumberFormat="1" applyFont="1" applyFill="1" applyAlignment="1">
      <alignment horizontal="right"/>
    </xf>
    <xf numFmtId="174" fontId="30" fillId="0" borderId="0" xfId="5" applyNumberFormat="1" applyFont="1" applyFill="1" applyAlignment="1">
      <alignment horizontal="right"/>
    </xf>
    <xf numFmtId="174" fontId="30" fillId="0" borderId="0" xfId="5" applyNumberFormat="1" applyFont="1" applyFill="1"/>
    <xf numFmtId="172" fontId="12" fillId="0" borderId="0" xfId="4" applyNumberFormat="1" applyFont="1" applyAlignment="1">
      <alignment horizontal="center"/>
    </xf>
    <xf numFmtId="2" fontId="12" fillId="0" borderId="0" xfId="4" applyNumberFormat="1" applyFont="1" applyAlignment="1">
      <alignment horizontal="center"/>
    </xf>
    <xf numFmtId="0" fontId="26" fillId="0" borderId="0" xfId="4" applyFont="1" applyAlignment="1">
      <alignment horizontal="center"/>
    </xf>
    <xf numFmtId="170" fontId="30" fillId="0" borderId="0" xfId="5" applyNumberFormat="1" applyFont="1" applyFill="1" applyBorder="1"/>
    <xf numFmtId="171" fontId="30" fillId="0" borderId="0" xfId="5" applyFont="1" applyFill="1" applyBorder="1"/>
    <xf numFmtId="170" fontId="26" fillId="0" borderId="0" xfId="5" applyNumberFormat="1" applyFont="1" applyFill="1" applyBorder="1"/>
    <xf numFmtId="171" fontId="27" fillId="0" borderId="0" xfId="4" applyNumberFormat="1" applyFont="1"/>
    <xf numFmtId="172" fontId="30" fillId="0" borderId="7" xfId="6" applyNumberFormat="1" applyFont="1" applyFill="1" applyBorder="1" applyAlignment="1">
      <alignment horizontal="center"/>
    </xf>
    <xf numFmtId="0" fontId="27" fillId="0" borderId="7" xfId="4" applyFont="1" applyBorder="1"/>
    <xf numFmtId="172" fontId="30" fillId="0" borderId="8" xfId="6" applyNumberFormat="1" applyFont="1" applyFill="1" applyBorder="1" applyAlignment="1">
      <alignment horizontal="center"/>
    </xf>
    <xf numFmtId="172" fontId="32" fillId="0" borderId="8" xfId="4" applyNumberFormat="1" applyFont="1" applyBorder="1" applyAlignment="1">
      <alignment horizontal="center"/>
    </xf>
    <xf numFmtId="0" fontId="28" fillId="0" borderId="0" xfId="4" applyFont="1"/>
    <xf numFmtId="168" fontId="28" fillId="0" borderId="7" xfId="0" applyNumberFormat="1" applyFont="1" applyBorder="1"/>
    <xf numFmtId="168" fontId="28" fillId="0" borderId="8" xfId="0" applyNumberFormat="1" applyFont="1" applyBorder="1"/>
    <xf numFmtId="177" fontId="29" fillId="0" borderId="7" xfId="4" applyNumberFormat="1" applyFont="1" applyBorder="1"/>
    <xf numFmtId="0" fontId="12" fillId="0" borderId="0" xfId="4" applyFont="1"/>
    <xf numFmtId="172" fontId="29" fillId="3" borderId="7" xfId="6" applyNumberFormat="1" applyFont="1" applyFill="1" applyBorder="1" applyAlignment="1">
      <alignment horizontal="center"/>
    </xf>
    <xf numFmtId="168" fontId="30" fillId="0" borderId="0" xfId="5" applyNumberFormat="1" applyFont="1" applyFill="1" applyBorder="1" applyAlignment="1">
      <alignment horizontal="center"/>
    </xf>
    <xf numFmtId="169" fontId="30" fillId="0" borderId="3" xfId="5" applyNumberFormat="1" applyFont="1" applyFill="1" applyBorder="1" applyAlignment="1">
      <alignment horizontal="center"/>
    </xf>
    <xf numFmtId="164" fontId="29" fillId="0" borderId="0" xfId="5" applyNumberFormat="1" applyFont="1" applyFill="1" applyBorder="1" applyAlignment="1">
      <alignment horizontal="right"/>
    </xf>
    <xf numFmtId="37" fontId="30" fillId="0" borderId="0" xfId="5" applyNumberFormat="1" applyFont="1" applyFill="1" applyBorder="1" applyAlignment="1">
      <alignment horizontal="right"/>
    </xf>
    <xf numFmtId="164" fontId="26" fillId="0" borderId="3" xfId="5" applyNumberFormat="1" applyFont="1" applyFill="1" applyBorder="1" applyAlignment="1">
      <alignment horizontal="right"/>
    </xf>
    <xf numFmtId="179" fontId="0" fillId="0" borderId="13" xfId="0" applyNumberFormat="1" applyBorder="1" applyAlignment="1">
      <alignment horizontal="center"/>
    </xf>
    <xf numFmtId="179" fontId="0" fillId="0" borderId="14" xfId="0" applyNumberFormat="1" applyBorder="1" applyAlignment="1">
      <alignment horizontal="center"/>
    </xf>
    <xf numFmtId="179" fontId="0" fillId="0" borderId="0" xfId="0" applyNumberFormat="1" applyAlignment="1">
      <alignment horizontal="center"/>
    </xf>
    <xf numFmtId="179" fontId="0" fillId="0" borderId="7" xfId="0" applyNumberFormat="1" applyBorder="1" applyAlignment="1">
      <alignment horizontal="center"/>
    </xf>
    <xf numFmtId="0" fontId="0" fillId="0" borderId="16" xfId="0" applyBorder="1"/>
    <xf numFmtId="179" fontId="0" fillId="0" borderId="3" xfId="0" applyNumberFormat="1" applyBorder="1" applyAlignment="1">
      <alignment horizontal="center"/>
    </xf>
    <xf numFmtId="179" fontId="0" fillId="0" borderId="8" xfId="0" applyNumberFormat="1" applyBorder="1" applyAlignment="1">
      <alignment horizontal="center"/>
    </xf>
    <xf numFmtId="0" fontId="3" fillId="0" borderId="12" xfId="0" applyFont="1" applyBorder="1"/>
    <xf numFmtId="179" fontId="0" fillId="0" borderId="0" xfId="0" applyNumberFormat="1"/>
    <xf numFmtId="165" fontId="0" fillId="0" borderId="0" xfId="0" applyNumberFormat="1"/>
    <xf numFmtId="177" fontId="22" fillId="0" borderId="0" xfId="1" applyNumberFormat="1" applyFont="1" applyBorder="1"/>
    <xf numFmtId="10" fontId="0" fillId="0" borderId="0" xfId="3" applyNumberFormat="1" applyFont="1" applyBorder="1"/>
    <xf numFmtId="0" fontId="0" fillId="0" borderId="20" xfId="0" applyBorder="1" applyAlignment="1">
      <alignment horizontal="center"/>
    </xf>
    <xf numFmtId="178" fontId="33" fillId="0" borderId="0" xfId="0" applyNumberFormat="1" applyFont="1" applyAlignment="1">
      <alignment horizontal="right"/>
    </xf>
    <xf numFmtId="0" fontId="32" fillId="0" borderId="15" xfId="4" applyFont="1" applyBorder="1"/>
    <xf numFmtId="0" fontId="32" fillId="0" borderId="16" xfId="4" applyFont="1" applyBorder="1"/>
    <xf numFmtId="172" fontId="32" fillId="0" borderId="0" xfId="3" applyNumberFormat="1" applyFont="1" applyFill="1" applyBorder="1"/>
    <xf numFmtId="172" fontId="32" fillId="0" borderId="7" xfId="0" applyNumberFormat="1" applyFont="1" applyBorder="1"/>
    <xf numFmtId="165" fontId="27" fillId="0" borderId="0" xfId="0" applyNumberFormat="1" applyFont="1"/>
    <xf numFmtId="164" fontId="3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181" fontId="34" fillId="0" borderId="0" xfId="3" applyNumberFormat="1" applyFont="1" applyFill="1" applyBorder="1" applyAlignment="1">
      <alignment horizontal="right"/>
    </xf>
    <xf numFmtId="37" fontId="28" fillId="0" borderId="0" xfId="0" applyNumberFormat="1" applyFont="1" applyAlignment="1">
      <alignment horizontal="right"/>
    </xf>
    <xf numFmtId="164" fontId="28" fillId="0" borderId="0" xfId="0" applyNumberFormat="1" applyFont="1" applyAlignment="1">
      <alignment horizontal="right"/>
    </xf>
    <xf numFmtId="173" fontId="25" fillId="0" borderId="0" xfId="3" applyNumberFormat="1" applyFont="1" applyFill="1" applyBorder="1" applyAlignment="1">
      <alignment horizontal="right"/>
    </xf>
    <xf numFmtId="0" fontId="24" fillId="0" borderId="0" xfId="4" applyFont="1" applyAlignment="1">
      <alignment horizontal="right"/>
    </xf>
    <xf numFmtId="0" fontId="25" fillId="0" borderId="0" xfId="4" applyFont="1" applyAlignment="1">
      <alignment horizontal="center"/>
    </xf>
    <xf numFmtId="171" fontId="30" fillId="0" borderId="0" xfId="1" applyFont="1" applyFill="1" applyBorder="1"/>
    <xf numFmtId="173" fontId="28" fillId="0" borderId="0" xfId="7" applyNumberFormat="1" applyFont="1" applyFill="1" applyBorder="1" applyAlignment="1">
      <alignment horizontal="right"/>
    </xf>
    <xf numFmtId="0" fontId="12" fillId="0" borderId="0" xfId="4" applyFont="1" applyAlignment="1">
      <alignment horizontal="centerContinuous"/>
    </xf>
    <xf numFmtId="178" fontId="33" fillId="0" borderId="7" xfId="0" applyNumberFormat="1" applyFont="1" applyBorder="1" applyAlignment="1">
      <alignment horizontal="right"/>
    </xf>
    <xf numFmtId="178" fontId="32" fillId="0" borderId="7" xfId="0" applyNumberFormat="1" applyFont="1" applyBorder="1"/>
    <xf numFmtId="173" fontId="28" fillId="0" borderId="7" xfId="0" applyNumberFormat="1" applyFont="1" applyBorder="1" applyAlignment="1">
      <alignment horizontal="right"/>
    </xf>
    <xf numFmtId="0" fontId="28" fillId="0" borderId="0" xfId="0" applyFont="1" applyAlignment="1">
      <alignment horizontal="right"/>
    </xf>
    <xf numFmtId="37" fontId="28" fillId="0" borderId="7" xfId="0" applyNumberFormat="1" applyFont="1" applyBorder="1" applyAlignment="1">
      <alignment horizontal="right"/>
    </xf>
    <xf numFmtId="164" fontId="28" fillId="0" borderId="7" xfId="0" applyNumberFormat="1" applyFont="1" applyBorder="1" applyAlignment="1">
      <alignment horizontal="right"/>
    </xf>
    <xf numFmtId="164" fontId="25" fillId="0" borderId="0" xfId="0" applyNumberFormat="1" applyFont="1" applyAlignment="1">
      <alignment horizontal="right"/>
    </xf>
    <xf numFmtId="173" fontId="25" fillId="0" borderId="0" xfId="3" applyNumberFormat="1" applyFont="1" applyBorder="1" applyAlignment="1">
      <alignment horizontal="right"/>
    </xf>
    <xf numFmtId="174" fontId="30" fillId="0" borderId="0" xfId="4" applyNumberFormat="1" applyFont="1"/>
    <xf numFmtId="0" fontId="32" fillId="0" borderId="0" xfId="4" applyFont="1" applyAlignment="1">
      <alignment horizontal="center"/>
    </xf>
    <xf numFmtId="164" fontId="28" fillId="0" borderId="0" xfId="4" applyNumberFormat="1" applyFont="1"/>
    <xf numFmtId="0" fontId="12" fillId="0" borderId="0" xfId="4" applyFont="1" applyAlignment="1">
      <alignment horizontal="center"/>
    </xf>
    <xf numFmtId="172" fontId="3" fillId="0" borderId="0" xfId="0" applyNumberFormat="1" applyFont="1"/>
    <xf numFmtId="10" fontId="3" fillId="0" borderId="0" xfId="0" applyNumberFormat="1" applyFont="1"/>
    <xf numFmtId="10" fontId="3" fillId="0" borderId="0" xfId="3" applyNumberFormat="1" applyFont="1"/>
    <xf numFmtId="0" fontId="12" fillId="0" borderId="0" xfId="98" applyFont="1" applyFill="1" applyAlignment="1">
      <alignment horizontal="center"/>
    </xf>
    <xf numFmtId="172" fontId="29" fillId="3" borderId="0" xfId="3" applyNumberFormat="1" applyFont="1" applyFill="1" applyBorder="1" applyAlignment="1">
      <alignment horizontal="center"/>
    </xf>
    <xf numFmtId="172" fontId="29" fillId="3" borderId="3" xfId="3" applyNumberFormat="1" applyFont="1" applyFill="1" applyBorder="1" applyAlignment="1">
      <alignment horizontal="center"/>
    </xf>
    <xf numFmtId="165" fontId="28" fillId="0" borderId="7" xfId="0" applyNumberFormat="1" applyFont="1" applyBorder="1"/>
    <xf numFmtId="0" fontId="148" fillId="0" borderId="16" xfId="0" applyFont="1" applyBorder="1"/>
    <xf numFmtId="174" fontId="148" fillId="0" borderId="0" xfId="1" applyNumberFormat="1" applyFont="1" applyFill="1" applyBorder="1"/>
    <xf numFmtId="0" fontId="149" fillId="0" borderId="0" xfId="0" applyFont="1"/>
    <xf numFmtId="0" fontId="149" fillId="0" borderId="7" xfId="0" applyFont="1" applyBorder="1"/>
    <xf numFmtId="0" fontId="28" fillId="0" borderId="7" xfId="0" applyFont="1" applyBorder="1"/>
    <xf numFmtId="171" fontId="28" fillId="0" borderId="0" xfId="0" applyNumberFormat="1" applyFont="1"/>
    <xf numFmtId="165" fontId="28" fillId="0" borderId="0" xfId="0" applyNumberFormat="1" applyFont="1"/>
    <xf numFmtId="0" fontId="28" fillId="0" borderId="15" xfId="0" applyFont="1" applyBorder="1" applyAlignment="1">
      <alignment horizontal="left"/>
    </xf>
    <xf numFmtId="0" fontId="28" fillId="0" borderId="15" xfId="0" applyFont="1" applyBorder="1" applyAlignment="1">
      <alignment horizontal="left" indent="3"/>
    </xf>
    <xf numFmtId="0" fontId="150" fillId="0" borderId="0" xfId="0" applyFont="1" applyAlignment="1">
      <alignment horizontal="right"/>
    </xf>
    <xf numFmtId="2" fontId="28" fillId="0" borderId="0" xfId="0" applyNumberFormat="1" applyFont="1" applyAlignment="1">
      <alignment horizontal="right"/>
    </xf>
    <xf numFmtId="2" fontId="28" fillId="0" borderId="7" xfId="0" applyNumberFormat="1" applyFont="1" applyBorder="1" applyAlignment="1">
      <alignment horizontal="right"/>
    </xf>
    <xf numFmtId="0" fontId="28" fillId="0" borderId="7" xfId="0" applyFont="1" applyBorder="1" applyAlignment="1">
      <alignment horizontal="right"/>
    </xf>
    <xf numFmtId="181" fontId="29" fillId="3" borderId="0" xfId="3" applyNumberFormat="1" applyFont="1" applyFill="1" applyBorder="1" applyAlignment="1">
      <alignment horizontal="right"/>
    </xf>
    <xf numFmtId="181" fontId="29" fillId="3" borderId="7" xfId="3" applyNumberFormat="1" applyFont="1" applyFill="1" applyBorder="1" applyAlignment="1">
      <alignment horizontal="right"/>
    </xf>
    <xf numFmtId="181" fontId="29" fillId="0" borderId="0" xfId="3" applyNumberFormat="1" applyFont="1" applyFill="1" applyBorder="1" applyAlignment="1">
      <alignment horizontal="right"/>
    </xf>
    <xf numFmtId="181" fontId="29" fillId="0" borderId="7" xfId="3" applyNumberFormat="1" applyFont="1" applyFill="1" applyBorder="1" applyAlignment="1">
      <alignment horizontal="right"/>
    </xf>
    <xf numFmtId="172" fontId="29" fillId="3" borderId="0" xfId="3" applyNumberFormat="1" applyFont="1" applyFill="1" applyBorder="1"/>
    <xf numFmtId="172" fontId="27" fillId="0" borderId="0" xfId="3" applyNumberFormat="1" applyFont="1" applyBorder="1"/>
    <xf numFmtId="0" fontId="28" fillId="0" borderId="3" xfId="0" applyFont="1" applyBorder="1"/>
    <xf numFmtId="166" fontId="27" fillId="0" borderId="0" xfId="4" applyNumberFormat="1" applyFont="1"/>
    <xf numFmtId="173" fontId="28" fillId="0" borderId="0" xfId="7" applyNumberFormat="1" applyFont="1" applyFill="1" applyBorder="1" applyAlignment="1"/>
    <xf numFmtId="173" fontId="30" fillId="0" borderId="0" xfId="7" applyNumberFormat="1" applyFont="1" applyFill="1" applyBorder="1" applyAlignment="1"/>
    <xf numFmtId="171" fontId="30" fillId="0" borderId="0" xfId="1" applyFont="1" applyFill="1" applyBorder="1" applyAlignment="1"/>
    <xf numFmtId="171" fontId="30" fillId="0" borderId="7" xfId="1" applyFont="1" applyFill="1" applyBorder="1" applyAlignment="1"/>
    <xf numFmtId="174" fontId="28" fillId="0" borderId="0" xfId="5" applyNumberFormat="1" applyFont="1" applyFill="1" applyBorder="1" applyAlignment="1"/>
    <xf numFmtId="173" fontId="28" fillId="0" borderId="7" xfId="7" applyNumberFormat="1" applyFont="1" applyFill="1" applyBorder="1" applyAlignment="1"/>
    <xf numFmtId="174" fontId="28" fillId="0" borderId="7" xfId="5" applyNumberFormat="1" applyFont="1" applyFill="1" applyBorder="1" applyAlignment="1"/>
    <xf numFmtId="174" fontId="30" fillId="0" borderId="0" xfId="5" applyNumberFormat="1" applyFont="1" applyFill="1" applyBorder="1" applyAlignment="1"/>
    <xf numFmtId="174" fontId="30" fillId="0" borderId="7" xfId="5" applyNumberFormat="1" applyFont="1" applyFill="1" applyBorder="1" applyAlignment="1"/>
    <xf numFmtId="173" fontId="30" fillId="0" borderId="7" xfId="7" applyNumberFormat="1" applyFont="1" applyFill="1" applyBorder="1" applyAlignment="1"/>
    <xf numFmtId="3" fontId="28" fillId="0" borderId="7" xfId="0" applyNumberFormat="1" applyFont="1" applyBorder="1"/>
    <xf numFmtId="3" fontId="28" fillId="0" borderId="3" xfId="0" applyNumberFormat="1" applyFont="1" applyBorder="1"/>
    <xf numFmtId="3" fontId="28" fillId="0" borderId="8" xfId="0" applyNumberFormat="1" applyFont="1" applyBorder="1"/>
    <xf numFmtId="0" fontId="25" fillId="0" borderId="0" xfId="4" applyFont="1"/>
    <xf numFmtId="0" fontId="24" fillId="6" borderId="59" xfId="4" applyFont="1" applyFill="1" applyBorder="1"/>
    <xf numFmtId="0" fontId="24" fillId="6" borderId="58" xfId="4" applyFont="1" applyFill="1" applyBorder="1"/>
    <xf numFmtId="0" fontId="24" fillId="6" borderId="58" xfId="4" applyFont="1" applyFill="1" applyBorder="1" applyAlignment="1">
      <alignment horizontal="right"/>
    </xf>
    <xf numFmtId="0" fontId="24" fillId="6" borderId="60" xfId="4" applyFont="1" applyFill="1" applyBorder="1" applyAlignment="1">
      <alignment horizontal="right"/>
    </xf>
    <xf numFmtId="164" fontId="26" fillId="0" borderId="58" xfId="5" applyNumberFormat="1" applyFont="1" applyFill="1" applyBorder="1" applyAlignment="1">
      <alignment horizontal="right"/>
    </xf>
    <xf numFmtId="172" fontId="26" fillId="0" borderId="60" xfId="6" applyNumberFormat="1" applyFont="1" applyFill="1" applyBorder="1" applyAlignment="1">
      <alignment horizontal="center"/>
    </xf>
    <xf numFmtId="0" fontId="28" fillId="0" borderId="61" xfId="0" applyFont="1" applyBorder="1" applyAlignment="1">
      <alignment horizontal="left"/>
    </xf>
    <xf numFmtId="0" fontId="28" fillId="0" borderId="62" xfId="0" applyFont="1" applyBorder="1"/>
    <xf numFmtId="164" fontId="28" fillId="0" borderId="62" xfId="0" applyNumberFormat="1" applyFont="1" applyBorder="1" applyAlignment="1">
      <alignment horizontal="right"/>
    </xf>
    <xf numFmtId="164" fontId="28" fillId="0" borderId="63" xfId="0" applyNumberFormat="1" applyFont="1" applyBorder="1" applyAlignment="1">
      <alignment horizontal="right"/>
    </xf>
    <xf numFmtId="0" fontId="25" fillId="7" borderId="59" xfId="4" applyFont="1" applyFill="1" applyBorder="1"/>
    <xf numFmtId="0" fontId="24" fillId="7" borderId="58" xfId="4" applyFont="1" applyFill="1" applyBorder="1"/>
    <xf numFmtId="0" fontId="25" fillId="7" borderId="58" xfId="4" applyFont="1" applyFill="1" applyBorder="1"/>
    <xf numFmtId="0" fontId="24" fillId="7" borderId="58" xfId="4" applyFont="1" applyFill="1" applyBorder="1" applyAlignment="1">
      <alignment horizontal="right"/>
    </xf>
    <xf numFmtId="0" fontId="24" fillId="7" borderId="60" xfId="4" applyFont="1" applyFill="1" applyBorder="1" applyAlignment="1">
      <alignment horizontal="right"/>
    </xf>
    <xf numFmtId="0" fontId="24" fillId="6" borderId="55" xfId="4" applyFont="1" applyFill="1" applyBorder="1"/>
    <xf numFmtId="0" fontId="25" fillId="6" borderId="56" xfId="4" applyFont="1" applyFill="1" applyBorder="1"/>
    <xf numFmtId="0" fontId="25" fillId="6" borderId="56" xfId="4" applyFont="1" applyFill="1" applyBorder="1" applyAlignment="1">
      <alignment horizontal="center"/>
    </xf>
    <xf numFmtId="0" fontId="25" fillId="6" borderId="57" xfId="4" applyFont="1" applyFill="1" applyBorder="1" applyAlignment="1">
      <alignment horizontal="center"/>
    </xf>
    <xf numFmtId="172" fontId="12" fillId="0" borderId="54" xfId="4" applyNumberFormat="1" applyFont="1" applyBorder="1" applyAlignment="1">
      <alignment horizontal="center"/>
    </xf>
    <xf numFmtId="2" fontId="12" fillId="0" borderId="54" xfId="4" applyNumberFormat="1" applyFont="1" applyBorder="1" applyAlignment="1">
      <alignment horizontal="center"/>
    </xf>
    <xf numFmtId="0" fontId="24" fillId="6" borderId="55" xfId="4" applyFont="1" applyFill="1" applyBorder="1" applyAlignment="1">
      <alignment horizontal="center"/>
    </xf>
    <xf numFmtId="0" fontId="24" fillId="6" borderId="57" xfId="4" applyFont="1" applyFill="1" applyBorder="1" applyAlignment="1">
      <alignment horizontal="center"/>
    </xf>
    <xf numFmtId="179" fontId="151" fillId="0" borderId="14" xfId="0" applyNumberFormat="1" applyFont="1" applyBorder="1"/>
    <xf numFmtId="10" fontId="151" fillId="0" borderId="7" xfId="0" applyNumberFormat="1" applyFont="1" applyBorder="1"/>
    <xf numFmtId="177" fontId="151" fillId="0" borderId="8" xfId="1" applyNumberFormat="1" applyFont="1" applyBorder="1"/>
    <xf numFmtId="172" fontId="152" fillId="0" borderId="12" xfId="3" applyNumberFormat="1" applyFont="1" applyFill="1" applyBorder="1" applyAlignment="1">
      <alignment horizontal="center"/>
    </xf>
    <xf numFmtId="172" fontId="152" fillId="0" borderId="13" xfId="3" applyNumberFormat="1" applyFont="1" applyFill="1" applyBorder="1" applyAlignment="1">
      <alignment horizontal="center"/>
    </xf>
    <xf numFmtId="172" fontId="152" fillId="13" borderId="15" xfId="3" applyNumberFormat="1" applyFont="1" applyFill="1" applyBorder="1" applyAlignment="1">
      <alignment horizontal="center"/>
    </xf>
    <xf numFmtId="172" fontId="152" fillId="13" borderId="0" xfId="3" applyNumberFormat="1" applyFont="1" applyFill="1" applyBorder="1" applyAlignment="1">
      <alignment horizontal="center"/>
    </xf>
    <xf numFmtId="172" fontId="152" fillId="0" borderId="15" xfId="3" applyNumberFormat="1" applyFont="1" applyFill="1" applyBorder="1" applyAlignment="1">
      <alignment horizontal="center"/>
    </xf>
    <xf numFmtId="172" fontId="152" fillId="0" borderId="0" xfId="3" applyNumberFormat="1" applyFont="1" applyFill="1" applyBorder="1" applyAlignment="1">
      <alignment horizontal="center"/>
    </xf>
    <xf numFmtId="172" fontId="152" fillId="8" borderId="15" xfId="3" applyNumberFormat="1" applyFont="1" applyFill="1" applyBorder="1" applyAlignment="1">
      <alignment horizontal="center"/>
    </xf>
    <xf numFmtId="172" fontId="152" fillId="8" borderId="0" xfId="3" applyNumberFormat="1" applyFont="1" applyFill="1" applyBorder="1" applyAlignment="1">
      <alignment horizontal="center"/>
    </xf>
    <xf numFmtId="179" fontId="152" fillId="0" borderId="0" xfId="61" applyNumberFormat="1" applyFont="1" applyFill="1" applyBorder="1" applyAlignment="1">
      <alignment horizontal="center"/>
    </xf>
    <xf numFmtId="179" fontId="152" fillId="8" borderId="0" xfId="61" applyNumberFormat="1" applyFont="1" applyFill="1" applyBorder="1" applyAlignment="1">
      <alignment horizontal="center"/>
    </xf>
    <xf numFmtId="10" fontId="153" fillId="0" borderId="0" xfId="3" applyNumberFormat="1" applyFont="1" applyFill="1" applyBorder="1" applyAlignment="1">
      <alignment horizontal="center"/>
    </xf>
    <xf numFmtId="9" fontId="28" fillId="0" borderId="0" xfId="3" applyFont="1" applyBorder="1" applyAlignment="1">
      <alignment horizontal="right"/>
    </xf>
    <xf numFmtId="172" fontId="28" fillId="0" borderId="0" xfId="3" applyNumberFormat="1" applyFont="1" applyBorder="1" applyAlignment="1">
      <alignment horizontal="right"/>
    </xf>
    <xf numFmtId="3" fontId="27" fillId="0" borderId="0" xfId="4" applyNumberFormat="1" applyFont="1"/>
    <xf numFmtId="165" fontId="28" fillId="0" borderId="8" xfId="0" applyNumberFormat="1" applyFont="1" applyBorder="1"/>
    <xf numFmtId="10" fontId="29" fillId="3" borderId="7" xfId="3" applyNumberFormat="1" applyFont="1" applyFill="1" applyBorder="1"/>
    <xf numFmtId="177" fontId="29" fillId="3" borderId="7" xfId="0" applyNumberFormat="1" applyFont="1" applyFill="1" applyBorder="1"/>
    <xf numFmtId="168" fontId="11" fillId="0" borderId="4" xfId="1" applyNumberFormat="1" applyFont="1" applyFill="1" applyBorder="1"/>
    <xf numFmtId="168" fontId="11" fillId="0" borderId="0" xfId="0" applyNumberFormat="1" applyFont="1"/>
    <xf numFmtId="2" fontId="28" fillId="0" borderId="0" xfId="0" applyNumberFormat="1" applyFont="1"/>
    <xf numFmtId="2" fontId="28" fillId="0" borderId="7" xfId="0" applyNumberFormat="1" applyFont="1" applyBorder="1"/>
    <xf numFmtId="0" fontId="24" fillId="6" borderId="59" xfId="4" applyFont="1" applyFill="1" applyBorder="1" applyAlignment="1">
      <alignment horizontal="centerContinuous"/>
    </xf>
    <xf numFmtId="0" fontId="24" fillId="6" borderId="58" xfId="4" applyFont="1" applyFill="1" applyBorder="1" applyAlignment="1">
      <alignment horizontal="centerContinuous"/>
    </xf>
    <xf numFmtId="0" fontId="24" fillId="6" borderId="60" xfId="4" applyFont="1" applyFill="1" applyBorder="1" applyAlignment="1">
      <alignment horizontal="centerContinuous"/>
    </xf>
    <xf numFmtId="9" fontId="28" fillId="0" borderId="7" xfId="3" applyFont="1" applyBorder="1" applyAlignment="1">
      <alignment horizontal="right"/>
    </xf>
    <xf numFmtId="0" fontId="28" fillId="0" borderId="16" xfId="0" applyFont="1" applyBorder="1" applyAlignment="1">
      <alignment horizontal="left"/>
    </xf>
    <xf numFmtId="164" fontId="28" fillId="0" borderId="3" xfId="0" applyNumberFormat="1" applyFont="1" applyBorder="1" applyAlignment="1">
      <alignment horizontal="right"/>
    </xf>
    <xf numFmtId="164" fontId="28" fillId="0" borderId="8" xfId="0" applyNumberFormat="1" applyFont="1" applyBorder="1" applyAlignment="1">
      <alignment horizontal="right"/>
    </xf>
    <xf numFmtId="3" fontId="27" fillId="0" borderId="7" xfId="4" applyNumberFormat="1" applyFont="1" applyBorder="1"/>
    <xf numFmtId="4" fontId="28" fillId="0" borderId="7" xfId="0" applyNumberFormat="1" applyFont="1" applyBorder="1"/>
    <xf numFmtId="0" fontId="3" fillId="0" borderId="0" xfId="3195"/>
    <xf numFmtId="0" fontId="1" fillId="0" borderId="0" xfId="3196"/>
    <xf numFmtId="0" fontId="14" fillId="0" borderId="0" xfId="3195" applyFont="1"/>
    <xf numFmtId="0" fontId="3" fillId="3" borderId="0" xfId="3195" applyFill="1"/>
    <xf numFmtId="0" fontId="3" fillId="4" borderId="0" xfId="3195" applyFill="1"/>
    <xf numFmtId="174" fontId="3" fillId="0" borderId="0" xfId="1" applyNumberFormat="1" applyFont="1" applyFill="1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3" xfId="0" applyNumberFormat="1" applyBorder="1" applyAlignment="1">
      <alignment horizontal="right"/>
    </xf>
    <xf numFmtId="173" fontId="152" fillId="0" borderId="0" xfId="0" applyNumberFormat="1" applyFont="1" applyAlignment="1">
      <alignment horizontal="right"/>
    </xf>
    <xf numFmtId="169" fontId="28" fillId="0" borderId="0" xfId="4" applyNumberFormat="1" applyFont="1"/>
    <xf numFmtId="43" fontId="10" fillId="0" borderId="0" xfId="0" applyNumberFormat="1" applyFont="1"/>
    <xf numFmtId="174" fontId="28" fillId="0" borderId="0" xfId="0" applyNumberFormat="1" applyFont="1" applyAlignment="1">
      <alignment horizontal="right"/>
    </xf>
    <xf numFmtId="174" fontId="28" fillId="0" borderId="7" xfId="0" applyNumberFormat="1" applyFont="1" applyBorder="1" applyAlignment="1">
      <alignment horizontal="right"/>
    </xf>
    <xf numFmtId="0" fontId="24" fillId="6" borderId="55" xfId="4" applyFont="1" applyFill="1" applyBorder="1" applyAlignment="1">
      <alignment horizontal="center"/>
    </xf>
    <xf numFmtId="0" fontId="24" fillId="6" borderId="57" xfId="4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4" fillId="6" borderId="56" xfId="4" applyFont="1" applyFill="1" applyBorder="1" applyAlignment="1">
      <alignment horizontal="center"/>
    </xf>
    <xf numFmtId="0" fontId="24" fillId="6" borderId="15" xfId="4" applyFont="1" applyFill="1" applyBorder="1" applyAlignment="1">
      <alignment horizontal="center"/>
    </xf>
    <xf numFmtId="0" fontId="24" fillId="6" borderId="0" xfId="4" applyFont="1" applyFill="1" applyAlignment="1">
      <alignment horizontal="center"/>
    </xf>
    <xf numFmtId="0" fontId="24" fillId="6" borderId="7" xfId="4" applyFont="1" applyFill="1" applyBorder="1" applyAlignment="1">
      <alignment horizontal="center"/>
    </xf>
    <xf numFmtId="0" fontId="24" fillId="6" borderId="52" xfId="98" applyFont="1" applyFill="1" applyBorder="1" applyAlignment="1">
      <alignment horizontal="center"/>
    </xf>
    <xf numFmtId="0" fontId="24" fillId="6" borderId="53" xfId="98" applyFont="1" applyFill="1" applyBorder="1" applyAlignment="1">
      <alignment horizontal="center"/>
    </xf>
    <xf numFmtId="172" fontId="3" fillId="0" borderId="0" xfId="3" applyNumberFormat="1" applyFont="1"/>
    <xf numFmtId="172" fontId="3" fillId="0" borderId="0" xfId="3" applyNumberFormat="1" applyFont="1" applyAlignment="1"/>
    <xf numFmtId="172" fontId="31" fillId="0" borderId="0" xfId="3" applyNumberFormat="1" applyFont="1"/>
  </cellXfs>
  <cellStyles count="3197">
    <cellStyle name="%" xfId="158" xr:uid="{00000000-0005-0000-0000-000000000000}"/>
    <cellStyle name="%0" xfId="159" xr:uid="{00000000-0005-0000-0000-000001000000}"/>
    <cellStyle name="%1" xfId="160" xr:uid="{00000000-0005-0000-0000-000002000000}"/>
    <cellStyle name="%2" xfId="161" xr:uid="{00000000-0005-0000-0000-000003000000}"/>
    <cellStyle name=";;;" xfId="162" xr:uid="{00000000-0005-0000-0000-000004000000}"/>
    <cellStyle name="??" xfId="163" xr:uid="{00000000-0005-0000-0000-000005000000}"/>
    <cellStyle name="?? [0.00]_PERSONAL" xfId="164" xr:uid="{00000000-0005-0000-0000-000006000000}"/>
    <cellStyle name="???? [0.00]_PERSONAL" xfId="165" xr:uid="{00000000-0005-0000-0000-000007000000}"/>
    <cellStyle name="????_PERSONAL" xfId="166" xr:uid="{00000000-0005-0000-0000-000008000000}"/>
    <cellStyle name="??_PERSONAL" xfId="167" xr:uid="{00000000-0005-0000-0000-000009000000}"/>
    <cellStyle name="_220 E 63rd - Q4RF - VALUATIONv4" xfId="168" xr:uid="{00000000-0005-0000-0000-00000A000000}"/>
    <cellStyle name="_Comma" xfId="169" xr:uid="{00000000-0005-0000-0000-00000B000000}"/>
    <cellStyle name="_Currency" xfId="170" xr:uid="{00000000-0005-0000-0000-00000C000000}"/>
    <cellStyle name="_Currency_MDL (Delaware) LLC" xfId="171" xr:uid="{00000000-0005-0000-0000-00000D000000}"/>
    <cellStyle name="_CurrencySpace" xfId="172" xr:uid="{00000000-0005-0000-0000-00000E000000}"/>
    <cellStyle name="_Multiple" xfId="173" xr:uid="{00000000-0005-0000-0000-00000F000000}"/>
    <cellStyle name="_Multiple_MDL (Delaware) LLC" xfId="174" xr:uid="{00000000-0005-0000-0000-000010000000}"/>
    <cellStyle name="_MultipleSpace" xfId="175" xr:uid="{00000000-0005-0000-0000-000011000000}"/>
    <cellStyle name="_MultipleSpace_MDL (Delaware) LLC" xfId="176" xr:uid="{00000000-0005-0000-0000-000012000000}"/>
    <cellStyle name="_Percent" xfId="177" xr:uid="{00000000-0005-0000-0000-000013000000}"/>
    <cellStyle name="_Percent_MDL (Delaware) LLC" xfId="178" xr:uid="{00000000-0005-0000-0000-000014000000}"/>
    <cellStyle name="_PercentSpace" xfId="179" xr:uid="{00000000-0005-0000-0000-000015000000}"/>
    <cellStyle name="_PercentSpace_MDL (Delaware) LLC" xfId="180" xr:uid="{00000000-0005-0000-0000-000016000000}"/>
    <cellStyle name="£ BP" xfId="181" xr:uid="{00000000-0005-0000-0000-000017000000}"/>
    <cellStyle name="£Currency [0]" xfId="182" xr:uid="{00000000-0005-0000-0000-000018000000}"/>
    <cellStyle name="£Currency [1]" xfId="183" xr:uid="{00000000-0005-0000-0000-000019000000}"/>
    <cellStyle name="£Currency [2]" xfId="184" xr:uid="{00000000-0005-0000-0000-00001A000000}"/>
    <cellStyle name="£Currency [p]" xfId="185" xr:uid="{00000000-0005-0000-0000-00001B000000}"/>
    <cellStyle name="£Currency [p2]" xfId="186" xr:uid="{00000000-0005-0000-0000-00001C000000}"/>
    <cellStyle name="£Pounds" xfId="187" xr:uid="{00000000-0005-0000-0000-00001D000000}"/>
    <cellStyle name="¥ JY" xfId="188" xr:uid="{00000000-0005-0000-0000-00001E000000}"/>
    <cellStyle name="•W€_Evergreen" xfId="190" xr:uid="{00000000-0005-0000-0000-00001F000000}"/>
    <cellStyle name="•W_surces &amp; uses" xfId="189" xr:uid="{00000000-0005-0000-0000-000020000000}"/>
    <cellStyle name="0" xfId="191" xr:uid="{00000000-0005-0000-0000-000021000000}"/>
    <cellStyle name="0.0x" xfId="192" xr:uid="{00000000-0005-0000-0000-000022000000}"/>
    <cellStyle name="1st indent" xfId="193" xr:uid="{00000000-0005-0000-0000-000023000000}"/>
    <cellStyle name="2nd indent" xfId="194" xr:uid="{00000000-0005-0000-0000-000024000000}"/>
    <cellStyle name="3rd indent" xfId="195" xr:uid="{00000000-0005-0000-0000-000025000000}"/>
    <cellStyle name="4th indent" xfId="196" xr:uid="{00000000-0005-0000-0000-000026000000}"/>
    <cellStyle name="5th indent" xfId="197" xr:uid="{00000000-0005-0000-0000-000027000000}"/>
    <cellStyle name="6th indent" xfId="198" xr:uid="{00000000-0005-0000-0000-000028000000}"/>
    <cellStyle name="A" xfId="9" xr:uid="{00000000-0005-0000-0000-000029000000}"/>
    <cellStyle name="A3 297 x 420 mm" xfId="199" xr:uid="{00000000-0005-0000-0000-00002A000000}"/>
    <cellStyle name="active" xfId="200" xr:uid="{00000000-0005-0000-0000-00002B000000}"/>
    <cellStyle name="Actual Date" xfId="201" xr:uid="{00000000-0005-0000-0000-00002C000000}"/>
    <cellStyle name="Actual Date 2" xfId="202" xr:uid="{00000000-0005-0000-0000-00002D000000}"/>
    <cellStyle name="Arial 10" xfId="203" xr:uid="{00000000-0005-0000-0000-00002E000000}"/>
    <cellStyle name="Arial 12" xfId="204" xr:uid="{00000000-0005-0000-0000-00002F000000}"/>
    <cellStyle name="at" xfId="205" xr:uid="{00000000-0005-0000-0000-000030000000}"/>
    <cellStyle name="b" xfId="206" xr:uid="{00000000-0005-0000-0000-000031000000}"/>
    <cellStyle name="b%0" xfId="207" xr:uid="{00000000-0005-0000-0000-000032000000}"/>
    <cellStyle name="b%1" xfId="208" xr:uid="{00000000-0005-0000-0000-000033000000}"/>
    <cellStyle name="b%2" xfId="209" xr:uid="{00000000-0005-0000-0000-000034000000}"/>
    <cellStyle name="b_1133 York 2005 BP Draft" xfId="210" xr:uid="{00000000-0005-0000-0000-000035000000}"/>
    <cellStyle name="b_1133 York Q4RF - VALUATION - $36mm SPv3" xfId="211" xr:uid="{00000000-0005-0000-0000-000036000000}"/>
    <cellStyle name="b_Dispo Memo Charts" xfId="212" xr:uid="{00000000-0005-0000-0000-000037000000}"/>
    <cellStyle name="b_FINAL UW MODEL Model v25 4 yr with pref equity opex 11_29 KROGER v2" xfId="213" xr:uid="{00000000-0005-0000-0000-000038000000}"/>
    <cellStyle name="b_Grandview Condo Model 1-4-05 v2" xfId="214" xr:uid="{00000000-0005-0000-0000-000039000000}"/>
    <cellStyle name="b_LBREP--_Crescent Cove_v24 - To Asst Mgmt" xfId="215" xr:uid="{00000000-0005-0000-0000-00003A000000}"/>
    <cellStyle name="b_LBREP--_Crescent Cove_v24 - To Asst Mgmt (2)" xfId="216" xr:uid="{00000000-0005-0000-0000-00003B000000}"/>
    <cellStyle name="b_LBREP--_Crescent Cove_v24 - To Asst Mgmt v6" xfId="217" xr:uid="{00000000-0005-0000-0000-00003C000000}"/>
    <cellStyle name="b_Q2 2006 Valuation Template" xfId="218" xr:uid="{00000000-0005-0000-0000-00003D000000}"/>
    <cellStyle name="b_Ridge Final UW Model" xfId="219" xr:uid="{00000000-0005-0000-0000-00003E000000}"/>
    <cellStyle name="b_Valuation roll up - SunCal Master III 11.28.2007 Base Case new PSV &amp; 10k @ 1.35mm" xfId="220" xr:uid="{00000000-0005-0000-0000-00003F000000}"/>
    <cellStyle name="b_Valuation Summary New Format v4" xfId="221" xr:uid="{00000000-0005-0000-0000-000040000000}"/>
    <cellStyle name="b_Valuation Summary New Format wCapRateSensitivity v4" xfId="222" xr:uid="{00000000-0005-0000-0000-000041000000}"/>
    <cellStyle name="b0" xfId="223" xr:uid="{00000000-0005-0000-0000-000042000000}"/>
    <cellStyle name="b09" xfId="224" xr:uid="{00000000-0005-0000-0000-000043000000}"/>
    <cellStyle name="b1" xfId="225" xr:uid="{00000000-0005-0000-0000-000044000000}"/>
    <cellStyle name="b2" xfId="226" xr:uid="{00000000-0005-0000-0000-000045000000}"/>
    <cellStyle name="BLACK" xfId="227" xr:uid="{00000000-0005-0000-0000-000046000000}"/>
    <cellStyle name="blue" xfId="228" xr:uid="{00000000-0005-0000-0000-000047000000}"/>
    <cellStyle name="blue$00" xfId="229" xr:uid="{00000000-0005-0000-0000-000048000000}"/>
    <cellStyle name="bo" xfId="230" xr:uid="{00000000-0005-0000-0000-000049000000}"/>
    <cellStyle name="Bold and Bottom line" xfId="231" xr:uid="{00000000-0005-0000-0000-00004A000000}"/>
    <cellStyle name="Bold/Border" xfId="232" xr:uid="{00000000-0005-0000-0000-00004B000000}"/>
    <cellStyle name="Bold/Border 2" xfId="233" xr:uid="{00000000-0005-0000-0000-00004C000000}"/>
    <cellStyle name="Border Heavy" xfId="234" xr:uid="{00000000-0005-0000-0000-00004D000000}"/>
    <cellStyle name="Border Thin" xfId="235" xr:uid="{00000000-0005-0000-0000-00004E000000}"/>
    <cellStyle name="Bottom" xfId="236" xr:uid="{00000000-0005-0000-0000-00004F000000}"/>
    <cellStyle name="Bottom 2" xfId="237" xr:uid="{00000000-0005-0000-0000-000050000000}"/>
    <cellStyle name="Bottom Border Line" xfId="238" xr:uid="{00000000-0005-0000-0000-000051000000}"/>
    <cellStyle name="bout" xfId="239" xr:uid="{00000000-0005-0000-0000-000052000000}"/>
    <cellStyle name="bout 2" xfId="240" xr:uid="{00000000-0005-0000-0000-000053000000}"/>
    <cellStyle name="British Pound" xfId="241" xr:uid="{00000000-0005-0000-0000-000054000000}"/>
    <cellStyle name="bt" xfId="242" xr:uid="{00000000-0005-0000-0000-000055000000}"/>
    <cellStyle name="bt 2" xfId="243" xr:uid="{00000000-0005-0000-0000-000056000000}"/>
    <cellStyle name="btit" xfId="244" xr:uid="{00000000-0005-0000-0000-000057000000}"/>
    <cellStyle name="Bullet" xfId="245" xr:uid="{00000000-0005-0000-0000-000058000000}"/>
    <cellStyle name="c" xfId="246" xr:uid="{00000000-0005-0000-0000-000059000000}"/>
    <cellStyle name="c_1200 Brickell Trimont Model 2004_09_14" xfId="247" xr:uid="{00000000-0005-0000-0000-00005A000000}"/>
    <cellStyle name="c_Downey Charts" xfId="248" xr:uid="{00000000-0005-0000-0000-00005B000000}"/>
    <cellStyle name="c_Downey Charts_Sheraton Tampa AM Model 112805" xfId="249" xr:uid="{00000000-0005-0000-0000-00005C000000}"/>
    <cellStyle name="c_Downey Charts_SOSJ AM Model (w 06 Budget &amp; refi) 2-16-06" xfId="250" xr:uid="{00000000-0005-0000-0000-00005D000000}"/>
    <cellStyle name="c_Downey Charts_SOSJ AM Model (w 06 Budget &amp; refi) 2-16-06_150 Charles Street model - 2007.12.20 - Valuation v4 Markup" xfId="251" xr:uid="{00000000-0005-0000-0000-00005E000000}"/>
    <cellStyle name="c_Downey Charts_SOSJ AM Model (w 06 Budget &amp; refi) 2-16-06_150 Charles Street model - 2008.01.31 - Reconciled" xfId="252" xr:uid="{00000000-0005-0000-0000-00005F000000}"/>
    <cellStyle name="c_Downey Charts_SOSJ AM Model (w 06 Budget &amp; refi) 2-16-06_Apartment Model" xfId="253" xr:uid="{00000000-0005-0000-0000-000060000000}"/>
    <cellStyle name="c_Downey Charts_SOSJ AM Model (w 06 Budget &amp; refi) 2-16-06_Apartment Model 5.31.08v3" xfId="254" xr:uid="{00000000-0005-0000-0000-000061000000}"/>
    <cellStyle name="c_Downey Charts_SOSJ AM Model (w 06 Budget &amp; refi) 2-16-06_Charles St Model - 2008.09.30" xfId="255" xr:uid="{00000000-0005-0000-0000-000062000000}"/>
    <cellStyle name="c_Downey Charts_SOSJ AM Model (w 06 Budget &amp; refi) 2-16-06_Ridge Asset Managment Model 5.31.08v3" xfId="256" xr:uid="{00000000-0005-0000-0000-000063000000}"/>
    <cellStyle name="c_Downey Charts_SOSJ AM Model (w 06 Budget &amp; refi) 2-16-06_Ridge Asset Managment Model 7.31.08" xfId="257" xr:uid="{00000000-0005-0000-0000-000064000000}"/>
    <cellStyle name="c_Downey Charts_SOSJ AM Model (w 06 Budget &amp; refi) 2-16-06_Ridge Asset Managment Model Q1 Valuations" xfId="258" xr:uid="{00000000-0005-0000-0000-000065000000}"/>
    <cellStyle name="c_Downey Charts_SOSJ AM Model (w 06 Budget &amp; refi) 2-16-06_Ridge Asset Managment Model Q2 Valuation" xfId="259" xr:uid="{00000000-0005-0000-0000-000066000000}"/>
    <cellStyle name="c_Downey Charts_SOSJ AM Model (w 06 Budget &amp; refi) 2-16-06_Trimont Asset Management Model V1" xfId="260" xr:uid="{00000000-0005-0000-0000-000067000000}"/>
    <cellStyle name="c_Downey Charts_SOSJ AM Model (w 06 Budget &amp; refi) 2-16-06_Trimont Asset Management Model V2" xfId="261" xr:uid="{00000000-0005-0000-0000-000068000000}"/>
    <cellStyle name="c_Downey Charts_SOSJ AM Model (w 06 Budget &amp; refi) 2-16-06_Valuation Summary New Format wCapRateSensitivity v5" xfId="262" xr:uid="{00000000-0005-0000-0000-000069000000}"/>
    <cellStyle name="c_Downey Charts_SOSJ AM Model (w 06 Budget &amp; refi) 2-16-06_Valuation Template Non Operaating Deal 06.12.08" xfId="263" xr:uid="{00000000-0005-0000-0000-00006A000000}"/>
    <cellStyle name="c_Downey Charts_SOSJ AM Model (w 06 Budget &amp; refi) 2-16-06_Valuation Template Operating Deal 06.10.08" xfId="264" xr:uid="{00000000-0005-0000-0000-00006B000000}"/>
    <cellStyle name="c_Grouse+Pelican" xfId="265" xr:uid="{00000000-0005-0000-0000-00006C000000}"/>
    <cellStyle name="c_Macros" xfId="266" xr:uid="{00000000-0005-0000-0000-00006D000000}"/>
    <cellStyle name="c_Macros (2)" xfId="267" xr:uid="{00000000-0005-0000-0000-00006E000000}"/>
    <cellStyle name="c_Macros (2)_1200 Brickell Trimont Model 2004_09_14" xfId="268" xr:uid="{00000000-0005-0000-0000-00006F000000}"/>
    <cellStyle name="c_Macros (2)_BPSCI" xfId="269" xr:uid="{00000000-0005-0000-0000-000070000000}"/>
    <cellStyle name="c_Macros (2)_CFTenant" xfId="270" xr:uid="{00000000-0005-0000-0000-000071000000}"/>
    <cellStyle name="c_Macros (2)_CFTenant.xls Chart 10" xfId="271" xr:uid="{00000000-0005-0000-0000-000072000000}"/>
    <cellStyle name="c_Macros (2)_CFTenant.xls Chart 11" xfId="272" xr:uid="{00000000-0005-0000-0000-000073000000}"/>
    <cellStyle name="c_Macros (2)_CFTenant.xls Chart 12" xfId="273" xr:uid="{00000000-0005-0000-0000-000074000000}"/>
    <cellStyle name="c_Macros (2)_CFTenant.xls Chart 4" xfId="274" xr:uid="{00000000-0005-0000-0000-000075000000}"/>
    <cellStyle name="c_Macros (2)_CFTenant.xls Chart 6" xfId="275" xr:uid="{00000000-0005-0000-0000-000076000000}"/>
    <cellStyle name="c_Macros (2)_CFTenant.xls Chart 7" xfId="276" xr:uid="{00000000-0005-0000-0000-000077000000}"/>
    <cellStyle name="c_Macros (2)_CFTenant.xls Chart 8" xfId="277" xr:uid="{00000000-0005-0000-0000-000078000000}"/>
    <cellStyle name="c_Macros (2)_CFTenant.xls Chart 9" xfId="278" xr:uid="{00000000-0005-0000-0000-000079000000}"/>
    <cellStyle name="c_Macros (2)_Downey Charts" xfId="279" xr:uid="{00000000-0005-0000-0000-00007A000000}"/>
    <cellStyle name="c_Macros (2)_Perry" xfId="280" xr:uid="{00000000-0005-0000-0000-00007B000000}"/>
    <cellStyle name="c_Macros_1200 Brickell Trimont Model 2004_09_14" xfId="281" xr:uid="{00000000-0005-0000-0000-00007C000000}"/>
    <cellStyle name="c_Macros_BPSCI" xfId="282" xr:uid="{00000000-0005-0000-0000-00007D000000}"/>
    <cellStyle name="c_Macros_CFTenant" xfId="283" xr:uid="{00000000-0005-0000-0000-00007E000000}"/>
    <cellStyle name="c_Macros_CFTenant.xls Chart 10" xfId="284" xr:uid="{00000000-0005-0000-0000-00007F000000}"/>
    <cellStyle name="c_Macros_CFTenant.xls Chart 11" xfId="285" xr:uid="{00000000-0005-0000-0000-000080000000}"/>
    <cellStyle name="c_Macros_CFTenant.xls Chart 12" xfId="286" xr:uid="{00000000-0005-0000-0000-000081000000}"/>
    <cellStyle name="c_Macros_CFTenant.xls Chart 4" xfId="287" xr:uid="{00000000-0005-0000-0000-000082000000}"/>
    <cellStyle name="c_Macros_CFTenant.xls Chart 6" xfId="288" xr:uid="{00000000-0005-0000-0000-000083000000}"/>
    <cellStyle name="c_Macros_CFTenant.xls Chart 7" xfId="289" xr:uid="{00000000-0005-0000-0000-000084000000}"/>
    <cellStyle name="c_Macros_CFTenant.xls Chart 8" xfId="290" xr:uid="{00000000-0005-0000-0000-000085000000}"/>
    <cellStyle name="c_Macros_CFTenant.xls Chart 9" xfId="291" xr:uid="{00000000-0005-0000-0000-000086000000}"/>
    <cellStyle name="c_Macros_Downey Charts" xfId="292" xr:uid="{00000000-0005-0000-0000-000087000000}"/>
    <cellStyle name="c_Macros_Perry" xfId="293" xr:uid="{00000000-0005-0000-0000-000088000000}"/>
    <cellStyle name="c_Manager (2)" xfId="294" xr:uid="{00000000-0005-0000-0000-000089000000}"/>
    <cellStyle name="c_Manager (2)_1200 Brickell Trimont Model 2004_09_14" xfId="295" xr:uid="{00000000-0005-0000-0000-00008A000000}"/>
    <cellStyle name="c_Manager (2)_BPSCI" xfId="296" xr:uid="{00000000-0005-0000-0000-00008B000000}"/>
    <cellStyle name="c_Manager (2)_CFTenant" xfId="297" xr:uid="{00000000-0005-0000-0000-00008C000000}"/>
    <cellStyle name="c_Manager (2)_CFTenant.xls Chart 10" xfId="298" xr:uid="{00000000-0005-0000-0000-00008D000000}"/>
    <cellStyle name="c_Manager (2)_CFTenant.xls Chart 11" xfId="299" xr:uid="{00000000-0005-0000-0000-00008E000000}"/>
    <cellStyle name="c_Manager (2)_CFTenant.xls Chart 12" xfId="300" xr:uid="{00000000-0005-0000-0000-00008F000000}"/>
    <cellStyle name="c_Manager (2)_CFTenant.xls Chart 4" xfId="301" xr:uid="{00000000-0005-0000-0000-000090000000}"/>
    <cellStyle name="c_Manager (2)_CFTenant.xls Chart 6" xfId="302" xr:uid="{00000000-0005-0000-0000-000091000000}"/>
    <cellStyle name="c_Manager (2)_CFTenant.xls Chart 7" xfId="303" xr:uid="{00000000-0005-0000-0000-000092000000}"/>
    <cellStyle name="c_Manager (2)_CFTenant.xls Chart 8" xfId="304" xr:uid="{00000000-0005-0000-0000-000093000000}"/>
    <cellStyle name="c_Manager (2)_CFTenant.xls Chart 9" xfId="305" xr:uid="{00000000-0005-0000-0000-000094000000}"/>
    <cellStyle name="c_Manager (2)_Downey Charts" xfId="306" xr:uid="{00000000-0005-0000-0000-000095000000}"/>
    <cellStyle name="c_Manager (2)_Perry" xfId="307" xr:uid="{00000000-0005-0000-0000-000096000000}"/>
    <cellStyle name="c0" xfId="308" xr:uid="{00000000-0005-0000-0000-000097000000}"/>
    <cellStyle name="cach" xfId="309" xr:uid="{00000000-0005-0000-0000-000098000000}"/>
    <cellStyle name="Calc Currency (0)" xfId="310" xr:uid="{00000000-0005-0000-0000-000099000000}"/>
    <cellStyle name="Calc Currency (2)" xfId="311" xr:uid="{00000000-0005-0000-0000-00009A000000}"/>
    <cellStyle name="Calc Percent (0)" xfId="312" xr:uid="{00000000-0005-0000-0000-00009B000000}"/>
    <cellStyle name="Calc Percent (1)" xfId="313" xr:uid="{00000000-0005-0000-0000-00009C000000}"/>
    <cellStyle name="Calc Percent (2)" xfId="314" xr:uid="{00000000-0005-0000-0000-00009D000000}"/>
    <cellStyle name="Calc Units (0)" xfId="315" xr:uid="{00000000-0005-0000-0000-00009E000000}"/>
    <cellStyle name="Calc Units (1)" xfId="316" xr:uid="{00000000-0005-0000-0000-00009F000000}"/>
    <cellStyle name="Calc Units (2)" xfId="317" xr:uid="{00000000-0005-0000-0000-0000A0000000}"/>
    <cellStyle name="Case" xfId="318" xr:uid="{00000000-0005-0000-0000-0000A1000000}"/>
    <cellStyle name="cedric" xfId="319" xr:uid="{00000000-0005-0000-0000-0000A2000000}"/>
    <cellStyle name="cedric 2" xfId="320" xr:uid="{00000000-0005-0000-0000-0000A3000000}"/>
    <cellStyle name="co" xfId="321" xr:uid="{00000000-0005-0000-0000-0000A4000000}"/>
    <cellStyle name="ColumnHeading" xfId="10" xr:uid="{00000000-0005-0000-0000-0000A5000000}"/>
    <cellStyle name="Comma  - Style1" xfId="12" xr:uid="{00000000-0005-0000-0000-0000A7000000}"/>
    <cellStyle name="Comma  - Style1 2" xfId="322" xr:uid="{00000000-0005-0000-0000-0000A8000000}"/>
    <cellStyle name="Comma  - Style1 2 2" xfId="323" xr:uid="{00000000-0005-0000-0000-0000A9000000}"/>
    <cellStyle name="Comma  - Style1 3" xfId="324" xr:uid="{00000000-0005-0000-0000-0000AA000000}"/>
    <cellStyle name="Comma  - Style2" xfId="13" xr:uid="{00000000-0005-0000-0000-0000AB000000}"/>
    <cellStyle name="Comma  - Style2 2" xfId="325" xr:uid="{00000000-0005-0000-0000-0000AC000000}"/>
    <cellStyle name="Comma  - Style2 2 2" xfId="326" xr:uid="{00000000-0005-0000-0000-0000AD000000}"/>
    <cellStyle name="Comma  - Style2 3" xfId="327" xr:uid="{00000000-0005-0000-0000-0000AE000000}"/>
    <cellStyle name="Comma  - Style3" xfId="14" xr:uid="{00000000-0005-0000-0000-0000AF000000}"/>
    <cellStyle name="Comma  - Style3 2" xfId="328" xr:uid="{00000000-0005-0000-0000-0000B0000000}"/>
    <cellStyle name="Comma  - Style3 2 2" xfId="329" xr:uid="{00000000-0005-0000-0000-0000B1000000}"/>
    <cellStyle name="Comma  - Style3 3" xfId="330" xr:uid="{00000000-0005-0000-0000-0000B2000000}"/>
    <cellStyle name="Comma  - Style4" xfId="15" xr:uid="{00000000-0005-0000-0000-0000B3000000}"/>
    <cellStyle name="Comma  - Style4 2" xfId="331" xr:uid="{00000000-0005-0000-0000-0000B4000000}"/>
    <cellStyle name="Comma  - Style4 2 2" xfId="332" xr:uid="{00000000-0005-0000-0000-0000B5000000}"/>
    <cellStyle name="Comma  - Style4 3" xfId="333" xr:uid="{00000000-0005-0000-0000-0000B6000000}"/>
    <cellStyle name="Comma  - Style5" xfId="16" xr:uid="{00000000-0005-0000-0000-0000B7000000}"/>
    <cellStyle name="Comma  - Style5 2" xfId="334" xr:uid="{00000000-0005-0000-0000-0000B8000000}"/>
    <cellStyle name="Comma  - Style5 2 2" xfId="335" xr:uid="{00000000-0005-0000-0000-0000B9000000}"/>
    <cellStyle name="Comma  - Style5 3" xfId="336" xr:uid="{00000000-0005-0000-0000-0000BA000000}"/>
    <cellStyle name="Comma  - Style6" xfId="17" xr:uid="{00000000-0005-0000-0000-0000BB000000}"/>
    <cellStyle name="Comma  - Style6 2" xfId="337" xr:uid="{00000000-0005-0000-0000-0000BC000000}"/>
    <cellStyle name="Comma  - Style6 2 2" xfId="338" xr:uid="{00000000-0005-0000-0000-0000BD000000}"/>
    <cellStyle name="Comma  - Style6 3" xfId="339" xr:uid="{00000000-0005-0000-0000-0000BE000000}"/>
    <cellStyle name="Comma  - Style7" xfId="18" xr:uid="{00000000-0005-0000-0000-0000BF000000}"/>
    <cellStyle name="Comma  - Style7 2" xfId="340" xr:uid="{00000000-0005-0000-0000-0000C0000000}"/>
    <cellStyle name="Comma  - Style7 2 2" xfId="341" xr:uid="{00000000-0005-0000-0000-0000C1000000}"/>
    <cellStyle name="Comma  - Style7 3" xfId="342" xr:uid="{00000000-0005-0000-0000-0000C2000000}"/>
    <cellStyle name="Comma  - Style8" xfId="19" xr:uid="{00000000-0005-0000-0000-0000C3000000}"/>
    <cellStyle name="Comma  - Style8 2" xfId="343" xr:uid="{00000000-0005-0000-0000-0000C4000000}"/>
    <cellStyle name="Comma  - Style8 2 2" xfId="344" xr:uid="{00000000-0005-0000-0000-0000C5000000}"/>
    <cellStyle name="Comma  - Style8 3" xfId="345" xr:uid="{00000000-0005-0000-0000-0000C6000000}"/>
    <cellStyle name="Comma (2)" xfId="346" xr:uid="{00000000-0005-0000-0000-0000C7000000}"/>
    <cellStyle name="Comma [0].brdr" xfId="347" xr:uid="{00000000-0005-0000-0000-0000C8000000}"/>
    <cellStyle name="Comma [0].brdr 2" xfId="348" xr:uid="{00000000-0005-0000-0000-0000C9000000}"/>
    <cellStyle name="Comma [00]" xfId="349" xr:uid="{00000000-0005-0000-0000-0000CA000000}"/>
    <cellStyle name="Comma [1]" xfId="350" xr:uid="{00000000-0005-0000-0000-0000CB000000}"/>
    <cellStyle name="Comma [2]" xfId="351" xr:uid="{00000000-0005-0000-0000-0000CC000000}"/>
    <cellStyle name="Comma 0" xfId="352" xr:uid="{00000000-0005-0000-0000-0000CD000000}"/>
    <cellStyle name="Comma 0.00" xfId="353" xr:uid="{00000000-0005-0000-0000-0000CE000000}"/>
    <cellStyle name="Comma 10" xfId="109" xr:uid="{00000000-0005-0000-0000-0000CF000000}"/>
    <cellStyle name="Comma 10 10" xfId="354" xr:uid="{00000000-0005-0000-0000-0000D0000000}"/>
    <cellStyle name="Comma 10 2" xfId="150" xr:uid="{00000000-0005-0000-0000-0000D1000000}"/>
    <cellStyle name="Comma 10 2 2" xfId="355" xr:uid="{00000000-0005-0000-0000-0000D2000000}"/>
    <cellStyle name="Comma 10 2 2 2" xfId="356" xr:uid="{00000000-0005-0000-0000-0000D3000000}"/>
    <cellStyle name="Comma 10 2 2 2 2" xfId="357" xr:uid="{00000000-0005-0000-0000-0000D4000000}"/>
    <cellStyle name="Comma 10 2 2 3" xfId="358" xr:uid="{00000000-0005-0000-0000-0000D5000000}"/>
    <cellStyle name="Comma 10 2 2 4" xfId="359" xr:uid="{00000000-0005-0000-0000-0000D6000000}"/>
    <cellStyle name="Comma 10 2 3" xfId="360" xr:uid="{00000000-0005-0000-0000-0000D7000000}"/>
    <cellStyle name="Comma 10 2 3 2" xfId="361" xr:uid="{00000000-0005-0000-0000-0000D8000000}"/>
    <cellStyle name="Comma 10 2 4" xfId="362" xr:uid="{00000000-0005-0000-0000-0000D9000000}"/>
    <cellStyle name="Comma 10 2 5" xfId="363" xr:uid="{00000000-0005-0000-0000-0000DA000000}"/>
    <cellStyle name="Comma 10 3" xfId="364" xr:uid="{00000000-0005-0000-0000-0000DB000000}"/>
    <cellStyle name="Comma 10 3 2" xfId="365" xr:uid="{00000000-0005-0000-0000-0000DC000000}"/>
    <cellStyle name="Comma 10 3 2 2" xfId="366" xr:uid="{00000000-0005-0000-0000-0000DD000000}"/>
    <cellStyle name="Comma 10 3 2 2 2" xfId="367" xr:uid="{00000000-0005-0000-0000-0000DE000000}"/>
    <cellStyle name="Comma 10 3 2 3" xfId="368" xr:uid="{00000000-0005-0000-0000-0000DF000000}"/>
    <cellStyle name="Comma 10 3 2 4" xfId="369" xr:uid="{00000000-0005-0000-0000-0000E0000000}"/>
    <cellStyle name="Comma 10 3 3" xfId="370" xr:uid="{00000000-0005-0000-0000-0000E1000000}"/>
    <cellStyle name="Comma 10 3 3 2" xfId="371" xr:uid="{00000000-0005-0000-0000-0000E2000000}"/>
    <cellStyle name="Comma 10 3 4" xfId="372" xr:uid="{00000000-0005-0000-0000-0000E3000000}"/>
    <cellStyle name="Comma 10 3 5" xfId="373" xr:uid="{00000000-0005-0000-0000-0000E4000000}"/>
    <cellStyle name="Comma 10 4" xfId="374" xr:uid="{00000000-0005-0000-0000-0000E5000000}"/>
    <cellStyle name="Comma 10 4 2" xfId="375" xr:uid="{00000000-0005-0000-0000-0000E6000000}"/>
    <cellStyle name="Comma 10 4 2 2" xfId="376" xr:uid="{00000000-0005-0000-0000-0000E7000000}"/>
    <cellStyle name="Comma 10 4 2 2 2" xfId="377" xr:uid="{00000000-0005-0000-0000-0000E8000000}"/>
    <cellStyle name="Comma 10 4 2 3" xfId="378" xr:uid="{00000000-0005-0000-0000-0000E9000000}"/>
    <cellStyle name="Comma 10 4 2 4" xfId="379" xr:uid="{00000000-0005-0000-0000-0000EA000000}"/>
    <cellStyle name="Comma 10 4 3" xfId="380" xr:uid="{00000000-0005-0000-0000-0000EB000000}"/>
    <cellStyle name="Comma 10 4 3 2" xfId="381" xr:uid="{00000000-0005-0000-0000-0000EC000000}"/>
    <cellStyle name="Comma 10 4 4" xfId="382" xr:uid="{00000000-0005-0000-0000-0000ED000000}"/>
    <cellStyle name="Comma 10 4 5" xfId="383" xr:uid="{00000000-0005-0000-0000-0000EE000000}"/>
    <cellStyle name="Comma 10 5" xfId="384" xr:uid="{00000000-0005-0000-0000-0000EF000000}"/>
    <cellStyle name="Comma 10 5 2" xfId="385" xr:uid="{00000000-0005-0000-0000-0000F0000000}"/>
    <cellStyle name="Comma 10 5 2 2" xfId="386" xr:uid="{00000000-0005-0000-0000-0000F1000000}"/>
    <cellStyle name="Comma 10 5 3" xfId="387" xr:uid="{00000000-0005-0000-0000-0000F2000000}"/>
    <cellStyle name="Comma 10 5 4" xfId="388" xr:uid="{00000000-0005-0000-0000-0000F3000000}"/>
    <cellStyle name="Comma 10 6" xfId="389" xr:uid="{00000000-0005-0000-0000-0000F4000000}"/>
    <cellStyle name="Comma 10 7" xfId="390" xr:uid="{00000000-0005-0000-0000-0000F5000000}"/>
    <cellStyle name="Comma 10 7 2" xfId="391" xr:uid="{00000000-0005-0000-0000-0000F6000000}"/>
    <cellStyle name="Comma 10 7 2 2" xfId="392" xr:uid="{00000000-0005-0000-0000-0000F7000000}"/>
    <cellStyle name="Comma 10 7 3" xfId="393" xr:uid="{00000000-0005-0000-0000-0000F8000000}"/>
    <cellStyle name="Comma 10 7 4" xfId="394" xr:uid="{00000000-0005-0000-0000-0000F9000000}"/>
    <cellStyle name="Comma 10 8" xfId="395" xr:uid="{00000000-0005-0000-0000-0000FA000000}"/>
    <cellStyle name="Comma 10 8 2" xfId="396" xr:uid="{00000000-0005-0000-0000-0000FB000000}"/>
    <cellStyle name="Comma 10 8 2 2" xfId="397" xr:uid="{00000000-0005-0000-0000-0000FC000000}"/>
    <cellStyle name="Comma 10 8 3" xfId="398" xr:uid="{00000000-0005-0000-0000-0000FD000000}"/>
    <cellStyle name="Comma 10 8 4" xfId="399" xr:uid="{00000000-0005-0000-0000-0000FE000000}"/>
    <cellStyle name="Comma 10 9" xfId="400" xr:uid="{00000000-0005-0000-0000-0000FF000000}"/>
    <cellStyle name="Comma 10 9 2" xfId="401" xr:uid="{00000000-0005-0000-0000-000000010000}"/>
    <cellStyle name="Comma 10 9 2 2" xfId="402" xr:uid="{00000000-0005-0000-0000-000001010000}"/>
    <cellStyle name="Comma 10 9 3" xfId="403" xr:uid="{00000000-0005-0000-0000-000002010000}"/>
    <cellStyle name="Comma 100" xfId="404" xr:uid="{00000000-0005-0000-0000-000003010000}"/>
    <cellStyle name="Comma 101" xfId="405" xr:uid="{00000000-0005-0000-0000-000004010000}"/>
    <cellStyle name="Comma 102" xfId="406" xr:uid="{00000000-0005-0000-0000-000005010000}"/>
    <cellStyle name="Comma 103" xfId="407" xr:uid="{00000000-0005-0000-0000-000006010000}"/>
    <cellStyle name="Comma 104" xfId="408" xr:uid="{00000000-0005-0000-0000-000007010000}"/>
    <cellStyle name="Comma 105" xfId="409" xr:uid="{00000000-0005-0000-0000-000008010000}"/>
    <cellStyle name="Comma 106" xfId="410" xr:uid="{00000000-0005-0000-0000-000009010000}"/>
    <cellStyle name="Comma 107" xfId="411" xr:uid="{00000000-0005-0000-0000-00000A010000}"/>
    <cellStyle name="Comma 108" xfId="412" xr:uid="{00000000-0005-0000-0000-00000B010000}"/>
    <cellStyle name="Comma 109" xfId="413" xr:uid="{00000000-0005-0000-0000-00000C010000}"/>
    <cellStyle name="Comma 11" xfId="414" xr:uid="{00000000-0005-0000-0000-00000D010000}"/>
    <cellStyle name="Comma 110" xfId="415" xr:uid="{00000000-0005-0000-0000-00000E010000}"/>
    <cellStyle name="Comma 111" xfId="416" xr:uid="{00000000-0005-0000-0000-00000F010000}"/>
    <cellStyle name="Comma 112" xfId="417" xr:uid="{00000000-0005-0000-0000-000010010000}"/>
    <cellStyle name="Comma 113" xfId="418" xr:uid="{00000000-0005-0000-0000-000011010000}"/>
    <cellStyle name="Comma 114" xfId="419" xr:uid="{00000000-0005-0000-0000-000012010000}"/>
    <cellStyle name="Comma 115" xfId="420" xr:uid="{00000000-0005-0000-0000-000013010000}"/>
    <cellStyle name="Comma 116" xfId="421" xr:uid="{00000000-0005-0000-0000-000014010000}"/>
    <cellStyle name="Comma 117" xfId="422" xr:uid="{00000000-0005-0000-0000-000015010000}"/>
    <cellStyle name="Comma 118" xfId="423" xr:uid="{00000000-0005-0000-0000-000016010000}"/>
    <cellStyle name="Comma 119" xfId="424" xr:uid="{00000000-0005-0000-0000-000017010000}"/>
    <cellStyle name="Comma 12" xfId="425" xr:uid="{00000000-0005-0000-0000-000018010000}"/>
    <cellStyle name="Comma 120" xfId="426" xr:uid="{00000000-0005-0000-0000-000019010000}"/>
    <cellStyle name="Comma 121" xfId="427" xr:uid="{00000000-0005-0000-0000-00001A010000}"/>
    <cellStyle name="Comma 122" xfId="428" xr:uid="{00000000-0005-0000-0000-00001B010000}"/>
    <cellStyle name="Comma 123" xfId="429" xr:uid="{00000000-0005-0000-0000-00001C010000}"/>
    <cellStyle name="Comma 124" xfId="430" xr:uid="{00000000-0005-0000-0000-00001D010000}"/>
    <cellStyle name="Comma 125" xfId="431" xr:uid="{00000000-0005-0000-0000-00001E010000}"/>
    <cellStyle name="Comma 126" xfId="432" xr:uid="{00000000-0005-0000-0000-00001F010000}"/>
    <cellStyle name="Comma 127" xfId="433" xr:uid="{00000000-0005-0000-0000-000020010000}"/>
    <cellStyle name="Comma 128" xfId="434" xr:uid="{00000000-0005-0000-0000-000021010000}"/>
    <cellStyle name="Comma 129" xfId="435" xr:uid="{00000000-0005-0000-0000-000022010000}"/>
    <cellStyle name="Comma 13" xfId="436" xr:uid="{00000000-0005-0000-0000-000023010000}"/>
    <cellStyle name="Comma 13 2" xfId="437" xr:uid="{00000000-0005-0000-0000-000024010000}"/>
    <cellStyle name="Comma 130" xfId="438" xr:uid="{00000000-0005-0000-0000-000025010000}"/>
    <cellStyle name="Comma 131" xfId="439" xr:uid="{00000000-0005-0000-0000-000026010000}"/>
    <cellStyle name="Comma 132" xfId="440" xr:uid="{00000000-0005-0000-0000-000027010000}"/>
    <cellStyle name="Comma 133" xfId="441" xr:uid="{00000000-0005-0000-0000-000028010000}"/>
    <cellStyle name="Comma 134" xfId="442" xr:uid="{00000000-0005-0000-0000-000029010000}"/>
    <cellStyle name="Comma 135" xfId="443" xr:uid="{00000000-0005-0000-0000-00002A010000}"/>
    <cellStyle name="Comma 136" xfId="444" xr:uid="{00000000-0005-0000-0000-00002B010000}"/>
    <cellStyle name="Comma 137" xfId="445" xr:uid="{00000000-0005-0000-0000-00002C010000}"/>
    <cellStyle name="Comma 138" xfId="446" xr:uid="{00000000-0005-0000-0000-00002D010000}"/>
    <cellStyle name="Comma 139" xfId="447" xr:uid="{00000000-0005-0000-0000-00002E010000}"/>
    <cellStyle name="Comma 14" xfId="448" xr:uid="{00000000-0005-0000-0000-00002F010000}"/>
    <cellStyle name="Comma 14 2" xfId="449" xr:uid="{00000000-0005-0000-0000-000030010000}"/>
    <cellStyle name="Comma 140" xfId="450" xr:uid="{00000000-0005-0000-0000-000031010000}"/>
    <cellStyle name="Comma 141" xfId="451" xr:uid="{00000000-0005-0000-0000-000032010000}"/>
    <cellStyle name="Comma 142" xfId="452" xr:uid="{00000000-0005-0000-0000-000033010000}"/>
    <cellStyle name="Comma 143" xfId="453" xr:uid="{00000000-0005-0000-0000-000034010000}"/>
    <cellStyle name="Comma 144" xfId="454" xr:uid="{00000000-0005-0000-0000-000035010000}"/>
    <cellStyle name="Comma 145" xfId="455" xr:uid="{00000000-0005-0000-0000-000036010000}"/>
    <cellStyle name="Comma 146" xfId="456" xr:uid="{00000000-0005-0000-0000-000037010000}"/>
    <cellStyle name="Comma 147" xfId="457" xr:uid="{00000000-0005-0000-0000-000038010000}"/>
    <cellStyle name="Comma 148" xfId="458" xr:uid="{00000000-0005-0000-0000-000039010000}"/>
    <cellStyle name="Comma 149" xfId="459" xr:uid="{00000000-0005-0000-0000-00003A010000}"/>
    <cellStyle name="Comma 15" xfId="460" xr:uid="{00000000-0005-0000-0000-00003B010000}"/>
    <cellStyle name="Comma 150" xfId="461" xr:uid="{00000000-0005-0000-0000-00003C010000}"/>
    <cellStyle name="Comma 151" xfId="462" xr:uid="{00000000-0005-0000-0000-00003D010000}"/>
    <cellStyle name="Comma 152" xfId="463" xr:uid="{00000000-0005-0000-0000-00003E010000}"/>
    <cellStyle name="Comma 153" xfId="464" xr:uid="{00000000-0005-0000-0000-00003F010000}"/>
    <cellStyle name="Comma 154" xfId="465" xr:uid="{00000000-0005-0000-0000-000040010000}"/>
    <cellStyle name="Comma 155" xfId="466" xr:uid="{00000000-0005-0000-0000-000041010000}"/>
    <cellStyle name="Comma 156" xfId="467" xr:uid="{00000000-0005-0000-0000-000042010000}"/>
    <cellStyle name="Comma 157" xfId="468" xr:uid="{00000000-0005-0000-0000-000043010000}"/>
    <cellStyle name="Comma 158" xfId="11" xr:uid="{00000000-0005-0000-0000-000044010000}"/>
    <cellStyle name="Comma 16" xfId="469" xr:uid="{00000000-0005-0000-0000-000045010000}"/>
    <cellStyle name="Comma 17" xfId="470" xr:uid="{00000000-0005-0000-0000-000046010000}"/>
    <cellStyle name="Comma 18" xfId="471" xr:uid="{00000000-0005-0000-0000-000047010000}"/>
    <cellStyle name="Comma 19" xfId="472" xr:uid="{00000000-0005-0000-0000-000048010000}"/>
    <cellStyle name="Comma 2" xfId="20" xr:uid="{00000000-0005-0000-0000-000049010000}"/>
    <cellStyle name="Comma 2 2" xfId="21" xr:uid="{00000000-0005-0000-0000-00004A010000}"/>
    <cellStyle name="Comma 2 2 2" xfId="157" xr:uid="{00000000-0005-0000-0000-00004B010000}"/>
    <cellStyle name="Comma 2 2 2 2" xfId="473" xr:uid="{00000000-0005-0000-0000-00004C010000}"/>
    <cellStyle name="Comma 2 2 2 2 2" xfId="474" xr:uid="{00000000-0005-0000-0000-00004D010000}"/>
    <cellStyle name="Comma 2 2 2 3" xfId="475" xr:uid="{00000000-0005-0000-0000-00004E010000}"/>
    <cellStyle name="Comma 2 2 3" xfId="476" xr:uid="{00000000-0005-0000-0000-00004F010000}"/>
    <cellStyle name="Comma 2 2 4" xfId="477" xr:uid="{00000000-0005-0000-0000-000050010000}"/>
    <cellStyle name="Comma 2 2 4 2" xfId="478" xr:uid="{00000000-0005-0000-0000-000051010000}"/>
    <cellStyle name="Comma 2 2 5" xfId="479" xr:uid="{00000000-0005-0000-0000-000052010000}"/>
    <cellStyle name="Comma 2 2 6" xfId="480" xr:uid="{00000000-0005-0000-0000-000053010000}"/>
    <cellStyle name="Comma 2 3" xfId="131" xr:uid="{00000000-0005-0000-0000-000054010000}"/>
    <cellStyle name="Comma 2 4" xfId="481" xr:uid="{00000000-0005-0000-0000-000055010000}"/>
    <cellStyle name="Comma 2 4 2" xfId="482" xr:uid="{00000000-0005-0000-0000-000056010000}"/>
    <cellStyle name="Comma 2 5" xfId="483" xr:uid="{00000000-0005-0000-0000-000057010000}"/>
    <cellStyle name="Comma 2 6" xfId="484" xr:uid="{00000000-0005-0000-0000-000058010000}"/>
    <cellStyle name="Comma 20" xfId="485" xr:uid="{00000000-0005-0000-0000-000059010000}"/>
    <cellStyle name="Comma 21" xfId="486" xr:uid="{00000000-0005-0000-0000-00005A010000}"/>
    <cellStyle name="Comma 22" xfId="487" xr:uid="{00000000-0005-0000-0000-00005B010000}"/>
    <cellStyle name="Comma 23" xfId="488" xr:uid="{00000000-0005-0000-0000-00005C010000}"/>
    <cellStyle name="Comma 24" xfId="489" xr:uid="{00000000-0005-0000-0000-00005D010000}"/>
    <cellStyle name="Comma 25" xfId="490" xr:uid="{00000000-0005-0000-0000-00005E010000}"/>
    <cellStyle name="Comma 26" xfId="491" xr:uid="{00000000-0005-0000-0000-00005F010000}"/>
    <cellStyle name="Comma 27" xfId="492" xr:uid="{00000000-0005-0000-0000-000060010000}"/>
    <cellStyle name="Comma 28" xfId="493" xr:uid="{00000000-0005-0000-0000-000061010000}"/>
    <cellStyle name="Comma 29" xfId="494" xr:uid="{00000000-0005-0000-0000-000062010000}"/>
    <cellStyle name="Comma 3" xfId="5" xr:uid="{00000000-0005-0000-0000-000063010000}"/>
    <cellStyle name="Comma 3 2" xfId="22" xr:uid="{00000000-0005-0000-0000-000064010000}"/>
    <cellStyle name="Comma 3 2 2" xfId="495" xr:uid="{00000000-0005-0000-0000-000065010000}"/>
    <cellStyle name="Comma 3 2 3" xfId="496" xr:uid="{00000000-0005-0000-0000-000066010000}"/>
    <cellStyle name="Comma 3 2 3 2" xfId="497" xr:uid="{00000000-0005-0000-0000-000067010000}"/>
    <cellStyle name="Comma 3 2 4" xfId="498" xr:uid="{00000000-0005-0000-0000-000068010000}"/>
    <cellStyle name="Comma 3 3" xfId="499" xr:uid="{00000000-0005-0000-0000-000069010000}"/>
    <cellStyle name="Comma 3 4" xfId="500" xr:uid="{00000000-0005-0000-0000-00006A010000}"/>
    <cellStyle name="Comma 3 5" xfId="501" xr:uid="{00000000-0005-0000-0000-00006B010000}"/>
    <cellStyle name="Comma 3 6" xfId="502" xr:uid="{00000000-0005-0000-0000-00006C010000}"/>
    <cellStyle name="Comma 3 6 2" xfId="503" xr:uid="{00000000-0005-0000-0000-00006D010000}"/>
    <cellStyle name="Comma 3 7" xfId="504" xr:uid="{00000000-0005-0000-0000-00006E010000}"/>
    <cellStyle name="Comma 30" xfId="505" xr:uid="{00000000-0005-0000-0000-00006F010000}"/>
    <cellStyle name="Comma 31" xfId="506" xr:uid="{00000000-0005-0000-0000-000070010000}"/>
    <cellStyle name="Comma 32" xfId="507" xr:uid="{00000000-0005-0000-0000-000071010000}"/>
    <cellStyle name="Comma 33" xfId="508" xr:uid="{00000000-0005-0000-0000-000072010000}"/>
    <cellStyle name="Comma 34" xfId="509" xr:uid="{00000000-0005-0000-0000-000073010000}"/>
    <cellStyle name="Comma 35" xfId="510" xr:uid="{00000000-0005-0000-0000-000074010000}"/>
    <cellStyle name="Comma 36" xfId="511" xr:uid="{00000000-0005-0000-0000-000075010000}"/>
    <cellStyle name="Comma 37" xfId="512" xr:uid="{00000000-0005-0000-0000-000076010000}"/>
    <cellStyle name="Comma 38" xfId="513" xr:uid="{00000000-0005-0000-0000-000077010000}"/>
    <cellStyle name="Comma 39" xfId="514" xr:uid="{00000000-0005-0000-0000-000078010000}"/>
    <cellStyle name="Comma 4" xfId="23" xr:uid="{00000000-0005-0000-0000-000079010000}"/>
    <cellStyle name="Comma 4 2" xfId="515" xr:uid="{00000000-0005-0000-0000-00007A010000}"/>
    <cellStyle name="Comma 4 2 2" xfId="516" xr:uid="{00000000-0005-0000-0000-00007B010000}"/>
    <cellStyle name="Comma 4 2 2 2" xfId="517" xr:uid="{00000000-0005-0000-0000-00007C010000}"/>
    <cellStyle name="Comma 4 2 3" xfId="518" xr:uid="{00000000-0005-0000-0000-00007D010000}"/>
    <cellStyle name="Comma 4 2 4" xfId="519" xr:uid="{00000000-0005-0000-0000-00007E010000}"/>
    <cellStyle name="Comma 4 3" xfId="520" xr:uid="{00000000-0005-0000-0000-00007F010000}"/>
    <cellStyle name="Comma 4 4" xfId="521" xr:uid="{00000000-0005-0000-0000-000080010000}"/>
    <cellStyle name="Comma 4 4 2" xfId="522" xr:uid="{00000000-0005-0000-0000-000081010000}"/>
    <cellStyle name="Comma 4 5" xfId="523" xr:uid="{00000000-0005-0000-0000-000082010000}"/>
    <cellStyle name="Comma 4 6" xfId="524" xr:uid="{00000000-0005-0000-0000-000083010000}"/>
    <cellStyle name="Comma 40" xfId="525" xr:uid="{00000000-0005-0000-0000-000084010000}"/>
    <cellStyle name="Comma 41" xfId="526" xr:uid="{00000000-0005-0000-0000-000085010000}"/>
    <cellStyle name="Comma 42" xfId="527" xr:uid="{00000000-0005-0000-0000-000086010000}"/>
    <cellStyle name="Comma 43" xfId="528" xr:uid="{00000000-0005-0000-0000-000087010000}"/>
    <cellStyle name="Comma 44" xfId="529" xr:uid="{00000000-0005-0000-0000-000088010000}"/>
    <cellStyle name="Comma 45" xfId="530" xr:uid="{00000000-0005-0000-0000-000089010000}"/>
    <cellStyle name="Comma 46" xfId="531" xr:uid="{00000000-0005-0000-0000-00008A010000}"/>
    <cellStyle name="Comma 47" xfId="532" xr:uid="{00000000-0005-0000-0000-00008B010000}"/>
    <cellStyle name="Comma 48" xfId="533" xr:uid="{00000000-0005-0000-0000-00008C010000}"/>
    <cellStyle name="Comma 49" xfId="534" xr:uid="{00000000-0005-0000-0000-00008D010000}"/>
    <cellStyle name="Comma 5" xfId="24" xr:uid="{00000000-0005-0000-0000-00008E010000}"/>
    <cellStyle name="Comma 5 10" xfId="535" xr:uid="{00000000-0005-0000-0000-00008F010000}"/>
    <cellStyle name="Comma 5 10 2" xfId="536" xr:uid="{00000000-0005-0000-0000-000090010000}"/>
    <cellStyle name="Comma 5 11" xfId="537" xr:uid="{00000000-0005-0000-0000-000091010000}"/>
    <cellStyle name="Comma 5 12" xfId="538" xr:uid="{00000000-0005-0000-0000-000092010000}"/>
    <cellStyle name="Comma 5 2" xfId="111" xr:uid="{00000000-0005-0000-0000-000093010000}"/>
    <cellStyle name="Comma 5 2 10" xfId="539" xr:uid="{00000000-0005-0000-0000-000094010000}"/>
    <cellStyle name="Comma 5 2 2" xfId="152" xr:uid="{00000000-0005-0000-0000-000095010000}"/>
    <cellStyle name="Comma 5 2 2 2" xfId="540" xr:uid="{00000000-0005-0000-0000-000096010000}"/>
    <cellStyle name="Comma 5 2 2 2 2" xfId="541" xr:uid="{00000000-0005-0000-0000-000097010000}"/>
    <cellStyle name="Comma 5 2 2 2 2 2" xfId="542" xr:uid="{00000000-0005-0000-0000-000098010000}"/>
    <cellStyle name="Comma 5 2 2 2 3" xfId="543" xr:uid="{00000000-0005-0000-0000-000099010000}"/>
    <cellStyle name="Comma 5 2 2 2 4" xfId="544" xr:uid="{00000000-0005-0000-0000-00009A010000}"/>
    <cellStyle name="Comma 5 2 2 3" xfId="545" xr:uid="{00000000-0005-0000-0000-00009B010000}"/>
    <cellStyle name="Comma 5 2 2 3 2" xfId="546" xr:uid="{00000000-0005-0000-0000-00009C010000}"/>
    <cellStyle name="Comma 5 2 2 4" xfId="547" xr:uid="{00000000-0005-0000-0000-00009D010000}"/>
    <cellStyle name="Comma 5 2 2 5" xfId="548" xr:uid="{00000000-0005-0000-0000-00009E010000}"/>
    <cellStyle name="Comma 5 2 3" xfId="549" xr:uid="{00000000-0005-0000-0000-00009F010000}"/>
    <cellStyle name="Comma 5 2 3 2" xfId="550" xr:uid="{00000000-0005-0000-0000-0000A0010000}"/>
    <cellStyle name="Comma 5 2 3 2 2" xfId="551" xr:uid="{00000000-0005-0000-0000-0000A1010000}"/>
    <cellStyle name="Comma 5 2 3 2 2 2" xfId="552" xr:uid="{00000000-0005-0000-0000-0000A2010000}"/>
    <cellStyle name="Comma 5 2 3 2 3" xfId="553" xr:uid="{00000000-0005-0000-0000-0000A3010000}"/>
    <cellStyle name="Comma 5 2 3 2 4" xfId="554" xr:uid="{00000000-0005-0000-0000-0000A4010000}"/>
    <cellStyle name="Comma 5 2 3 3" xfId="555" xr:uid="{00000000-0005-0000-0000-0000A5010000}"/>
    <cellStyle name="Comma 5 2 3 3 2" xfId="556" xr:uid="{00000000-0005-0000-0000-0000A6010000}"/>
    <cellStyle name="Comma 5 2 3 4" xfId="557" xr:uid="{00000000-0005-0000-0000-0000A7010000}"/>
    <cellStyle name="Comma 5 2 3 5" xfId="558" xr:uid="{00000000-0005-0000-0000-0000A8010000}"/>
    <cellStyle name="Comma 5 2 4" xfId="559" xr:uid="{00000000-0005-0000-0000-0000A9010000}"/>
    <cellStyle name="Comma 5 2 4 2" xfId="560" xr:uid="{00000000-0005-0000-0000-0000AA010000}"/>
    <cellStyle name="Comma 5 2 4 2 2" xfId="561" xr:uid="{00000000-0005-0000-0000-0000AB010000}"/>
    <cellStyle name="Comma 5 2 4 2 2 2" xfId="562" xr:uid="{00000000-0005-0000-0000-0000AC010000}"/>
    <cellStyle name="Comma 5 2 4 2 3" xfId="563" xr:uid="{00000000-0005-0000-0000-0000AD010000}"/>
    <cellStyle name="Comma 5 2 4 2 4" xfId="564" xr:uid="{00000000-0005-0000-0000-0000AE010000}"/>
    <cellStyle name="Comma 5 2 4 3" xfId="565" xr:uid="{00000000-0005-0000-0000-0000AF010000}"/>
    <cellStyle name="Comma 5 2 4 3 2" xfId="566" xr:uid="{00000000-0005-0000-0000-0000B0010000}"/>
    <cellStyle name="Comma 5 2 4 4" xfId="567" xr:uid="{00000000-0005-0000-0000-0000B1010000}"/>
    <cellStyle name="Comma 5 2 4 5" xfId="568" xr:uid="{00000000-0005-0000-0000-0000B2010000}"/>
    <cellStyle name="Comma 5 2 5" xfId="569" xr:uid="{00000000-0005-0000-0000-0000B3010000}"/>
    <cellStyle name="Comma 5 2 5 2" xfId="570" xr:uid="{00000000-0005-0000-0000-0000B4010000}"/>
    <cellStyle name="Comma 5 2 5 2 2" xfId="571" xr:uid="{00000000-0005-0000-0000-0000B5010000}"/>
    <cellStyle name="Comma 5 2 5 3" xfId="572" xr:uid="{00000000-0005-0000-0000-0000B6010000}"/>
    <cellStyle name="Comma 5 2 5 4" xfId="573" xr:uid="{00000000-0005-0000-0000-0000B7010000}"/>
    <cellStyle name="Comma 5 2 6" xfId="574" xr:uid="{00000000-0005-0000-0000-0000B8010000}"/>
    <cellStyle name="Comma 5 2 6 2" xfId="575" xr:uid="{00000000-0005-0000-0000-0000B9010000}"/>
    <cellStyle name="Comma 5 2 6 2 2" xfId="576" xr:uid="{00000000-0005-0000-0000-0000BA010000}"/>
    <cellStyle name="Comma 5 2 6 3" xfId="577" xr:uid="{00000000-0005-0000-0000-0000BB010000}"/>
    <cellStyle name="Comma 5 2 6 4" xfId="578" xr:uid="{00000000-0005-0000-0000-0000BC010000}"/>
    <cellStyle name="Comma 5 2 7" xfId="579" xr:uid="{00000000-0005-0000-0000-0000BD010000}"/>
    <cellStyle name="Comma 5 2 7 2" xfId="580" xr:uid="{00000000-0005-0000-0000-0000BE010000}"/>
    <cellStyle name="Comma 5 2 7 2 2" xfId="581" xr:uid="{00000000-0005-0000-0000-0000BF010000}"/>
    <cellStyle name="Comma 5 2 7 3" xfId="582" xr:uid="{00000000-0005-0000-0000-0000C0010000}"/>
    <cellStyle name="Comma 5 2 7 4" xfId="583" xr:uid="{00000000-0005-0000-0000-0000C1010000}"/>
    <cellStyle name="Comma 5 2 8" xfId="584" xr:uid="{00000000-0005-0000-0000-0000C2010000}"/>
    <cellStyle name="Comma 5 2 8 2" xfId="585" xr:uid="{00000000-0005-0000-0000-0000C3010000}"/>
    <cellStyle name="Comma 5 2 9" xfId="586" xr:uid="{00000000-0005-0000-0000-0000C4010000}"/>
    <cellStyle name="Comma 5 3" xfId="132" xr:uid="{00000000-0005-0000-0000-0000C5010000}"/>
    <cellStyle name="Comma 5 3 2" xfId="587" xr:uid="{00000000-0005-0000-0000-0000C6010000}"/>
    <cellStyle name="Comma 5 3 2 2" xfId="588" xr:uid="{00000000-0005-0000-0000-0000C7010000}"/>
    <cellStyle name="Comma 5 3 2 2 2" xfId="589" xr:uid="{00000000-0005-0000-0000-0000C8010000}"/>
    <cellStyle name="Comma 5 3 2 3" xfId="590" xr:uid="{00000000-0005-0000-0000-0000C9010000}"/>
    <cellStyle name="Comma 5 3 2 4" xfId="591" xr:uid="{00000000-0005-0000-0000-0000CA010000}"/>
    <cellStyle name="Comma 5 3 3" xfId="592" xr:uid="{00000000-0005-0000-0000-0000CB010000}"/>
    <cellStyle name="Comma 5 3 3 2" xfId="593" xr:uid="{00000000-0005-0000-0000-0000CC010000}"/>
    <cellStyle name="Comma 5 3 4" xfId="594" xr:uid="{00000000-0005-0000-0000-0000CD010000}"/>
    <cellStyle name="Comma 5 3 5" xfId="595" xr:uid="{00000000-0005-0000-0000-0000CE010000}"/>
    <cellStyle name="Comma 5 4" xfId="596" xr:uid="{00000000-0005-0000-0000-0000CF010000}"/>
    <cellStyle name="Comma 5 4 2" xfId="597" xr:uid="{00000000-0005-0000-0000-0000D0010000}"/>
    <cellStyle name="Comma 5 4 2 2" xfId="598" xr:uid="{00000000-0005-0000-0000-0000D1010000}"/>
    <cellStyle name="Comma 5 4 2 2 2" xfId="599" xr:uid="{00000000-0005-0000-0000-0000D2010000}"/>
    <cellStyle name="Comma 5 4 2 3" xfId="600" xr:uid="{00000000-0005-0000-0000-0000D3010000}"/>
    <cellStyle name="Comma 5 4 2 4" xfId="601" xr:uid="{00000000-0005-0000-0000-0000D4010000}"/>
    <cellStyle name="Comma 5 4 3" xfId="602" xr:uid="{00000000-0005-0000-0000-0000D5010000}"/>
    <cellStyle name="Comma 5 4 3 2" xfId="603" xr:uid="{00000000-0005-0000-0000-0000D6010000}"/>
    <cellStyle name="Comma 5 4 4" xfId="604" xr:uid="{00000000-0005-0000-0000-0000D7010000}"/>
    <cellStyle name="Comma 5 4 5" xfId="605" xr:uid="{00000000-0005-0000-0000-0000D8010000}"/>
    <cellStyle name="Comma 5 5" xfId="606" xr:uid="{00000000-0005-0000-0000-0000D9010000}"/>
    <cellStyle name="Comma 5 5 2" xfId="607" xr:uid="{00000000-0005-0000-0000-0000DA010000}"/>
    <cellStyle name="Comma 5 5 2 2" xfId="608" xr:uid="{00000000-0005-0000-0000-0000DB010000}"/>
    <cellStyle name="Comma 5 5 2 2 2" xfId="609" xr:uid="{00000000-0005-0000-0000-0000DC010000}"/>
    <cellStyle name="Comma 5 5 2 3" xfId="610" xr:uid="{00000000-0005-0000-0000-0000DD010000}"/>
    <cellStyle name="Comma 5 5 2 4" xfId="611" xr:uid="{00000000-0005-0000-0000-0000DE010000}"/>
    <cellStyle name="Comma 5 5 3" xfId="612" xr:uid="{00000000-0005-0000-0000-0000DF010000}"/>
    <cellStyle name="Comma 5 5 3 2" xfId="613" xr:uid="{00000000-0005-0000-0000-0000E0010000}"/>
    <cellStyle name="Comma 5 5 4" xfId="614" xr:uid="{00000000-0005-0000-0000-0000E1010000}"/>
    <cellStyle name="Comma 5 5 5" xfId="615" xr:uid="{00000000-0005-0000-0000-0000E2010000}"/>
    <cellStyle name="Comma 5 6" xfId="616" xr:uid="{00000000-0005-0000-0000-0000E3010000}"/>
    <cellStyle name="Comma 5 6 2" xfId="617" xr:uid="{00000000-0005-0000-0000-0000E4010000}"/>
    <cellStyle name="Comma 5 6 2 2" xfId="618" xr:uid="{00000000-0005-0000-0000-0000E5010000}"/>
    <cellStyle name="Comma 5 6 3" xfId="619" xr:uid="{00000000-0005-0000-0000-0000E6010000}"/>
    <cellStyle name="Comma 5 6 4" xfId="620" xr:uid="{00000000-0005-0000-0000-0000E7010000}"/>
    <cellStyle name="Comma 5 7" xfId="621" xr:uid="{00000000-0005-0000-0000-0000E8010000}"/>
    <cellStyle name="Comma 5 8" xfId="622" xr:uid="{00000000-0005-0000-0000-0000E9010000}"/>
    <cellStyle name="Comma 5 8 2" xfId="623" xr:uid="{00000000-0005-0000-0000-0000EA010000}"/>
    <cellStyle name="Comma 5 8 2 2" xfId="624" xr:uid="{00000000-0005-0000-0000-0000EB010000}"/>
    <cellStyle name="Comma 5 8 3" xfId="625" xr:uid="{00000000-0005-0000-0000-0000EC010000}"/>
    <cellStyle name="Comma 5 8 4" xfId="626" xr:uid="{00000000-0005-0000-0000-0000ED010000}"/>
    <cellStyle name="Comma 5 9" xfId="627" xr:uid="{00000000-0005-0000-0000-0000EE010000}"/>
    <cellStyle name="Comma 5 9 2" xfId="628" xr:uid="{00000000-0005-0000-0000-0000EF010000}"/>
    <cellStyle name="Comma 5 9 2 2" xfId="629" xr:uid="{00000000-0005-0000-0000-0000F0010000}"/>
    <cellStyle name="Comma 5 9 3" xfId="630" xr:uid="{00000000-0005-0000-0000-0000F1010000}"/>
    <cellStyle name="Comma 5 9 4" xfId="631" xr:uid="{00000000-0005-0000-0000-0000F2010000}"/>
    <cellStyle name="Comma 50" xfId="632" xr:uid="{00000000-0005-0000-0000-0000F3010000}"/>
    <cellStyle name="Comma 51" xfId="633" xr:uid="{00000000-0005-0000-0000-0000F4010000}"/>
    <cellStyle name="Comma 52" xfId="634" xr:uid="{00000000-0005-0000-0000-0000F5010000}"/>
    <cellStyle name="Comma 53" xfId="635" xr:uid="{00000000-0005-0000-0000-0000F6010000}"/>
    <cellStyle name="Comma 54" xfId="636" xr:uid="{00000000-0005-0000-0000-0000F7010000}"/>
    <cellStyle name="Comma 55" xfId="637" xr:uid="{00000000-0005-0000-0000-0000F8010000}"/>
    <cellStyle name="Comma 56" xfId="638" xr:uid="{00000000-0005-0000-0000-0000F9010000}"/>
    <cellStyle name="Comma 57" xfId="639" xr:uid="{00000000-0005-0000-0000-0000FA010000}"/>
    <cellStyle name="Comma 58" xfId="640" xr:uid="{00000000-0005-0000-0000-0000FB010000}"/>
    <cellStyle name="Comma 59" xfId="641" xr:uid="{00000000-0005-0000-0000-0000FC010000}"/>
    <cellStyle name="Comma 6" xfId="96" xr:uid="{00000000-0005-0000-0000-0000FD010000}"/>
    <cellStyle name="Comma 6 10" xfId="642" xr:uid="{00000000-0005-0000-0000-0000FE010000}"/>
    <cellStyle name="Comma 6 2" xfId="141" xr:uid="{00000000-0005-0000-0000-0000FF010000}"/>
    <cellStyle name="Comma 6 2 2" xfId="643" xr:uid="{00000000-0005-0000-0000-000000020000}"/>
    <cellStyle name="Comma 6 2 2 2" xfId="644" xr:uid="{00000000-0005-0000-0000-000001020000}"/>
    <cellStyle name="Comma 6 2 2 2 2" xfId="645" xr:uid="{00000000-0005-0000-0000-000002020000}"/>
    <cellStyle name="Comma 6 2 2 3" xfId="646" xr:uid="{00000000-0005-0000-0000-000003020000}"/>
    <cellStyle name="Comma 6 2 2 4" xfId="647" xr:uid="{00000000-0005-0000-0000-000004020000}"/>
    <cellStyle name="Comma 6 2 3" xfId="648" xr:uid="{00000000-0005-0000-0000-000005020000}"/>
    <cellStyle name="Comma 6 2 3 2" xfId="649" xr:uid="{00000000-0005-0000-0000-000006020000}"/>
    <cellStyle name="Comma 6 2 4" xfId="650" xr:uid="{00000000-0005-0000-0000-000007020000}"/>
    <cellStyle name="Comma 6 2 5" xfId="651" xr:uid="{00000000-0005-0000-0000-000008020000}"/>
    <cellStyle name="Comma 6 3" xfId="652" xr:uid="{00000000-0005-0000-0000-000009020000}"/>
    <cellStyle name="Comma 6 3 2" xfId="653" xr:uid="{00000000-0005-0000-0000-00000A020000}"/>
    <cellStyle name="Comma 6 3 2 2" xfId="654" xr:uid="{00000000-0005-0000-0000-00000B020000}"/>
    <cellStyle name="Comma 6 3 2 2 2" xfId="655" xr:uid="{00000000-0005-0000-0000-00000C020000}"/>
    <cellStyle name="Comma 6 3 2 3" xfId="656" xr:uid="{00000000-0005-0000-0000-00000D020000}"/>
    <cellStyle name="Comma 6 3 2 4" xfId="657" xr:uid="{00000000-0005-0000-0000-00000E020000}"/>
    <cellStyle name="Comma 6 3 3" xfId="658" xr:uid="{00000000-0005-0000-0000-00000F020000}"/>
    <cellStyle name="Comma 6 3 3 2" xfId="659" xr:uid="{00000000-0005-0000-0000-000010020000}"/>
    <cellStyle name="Comma 6 3 4" xfId="660" xr:uid="{00000000-0005-0000-0000-000011020000}"/>
    <cellStyle name="Comma 6 3 5" xfId="661" xr:uid="{00000000-0005-0000-0000-000012020000}"/>
    <cellStyle name="Comma 6 4" xfId="662" xr:uid="{00000000-0005-0000-0000-000013020000}"/>
    <cellStyle name="Comma 6 4 2" xfId="663" xr:uid="{00000000-0005-0000-0000-000014020000}"/>
    <cellStyle name="Comma 6 4 2 2" xfId="664" xr:uid="{00000000-0005-0000-0000-000015020000}"/>
    <cellStyle name="Comma 6 4 2 2 2" xfId="665" xr:uid="{00000000-0005-0000-0000-000016020000}"/>
    <cellStyle name="Comma 6 4 2 3" xfId="666" xr:uid="{00000000-0005-0000-0000-000017020000}"/>
    <cellStyle name="Comma 6 4 2 4" xfId="667" xr:uid="{00000000-0005-0000-0000-000018020000}"/>
    <cellStyle name="Comma 6 4 3" xfId="668" xr:uid="{00000000-0005-0000-0000-000019020000}"/>
    <cellStyle name="Comma 6 4 3 2" xfId="669" xr:uid="{00000000-0005-0000-0000-00001A020000}"/>
    <cellStyle name="Comma 6 4 4" xfId="670" xr:uid="{00000000-0005-0000-0000-00001B020000}"/>
    <cellStyle name="Comma 6 4 5" xfId="671" xr:uid="{00000000-0005-0000-0000-00001C020000}"/>
    <cellStyle name="Comma 6 5" xfId="672" xr:uid="{00000000-0005-0000-0000-00001D020000}"/>
    <cellStyle name="Comma 6 5 2" xfId="673" xr:uid="{00000000-0005-0000-0000-00001E020000}"/>
    <cellStyle name="Comma 6 5 2 2" xfId="674" xr:uid="{00000000-0005-0000-0000-00001F020000}"/>
    <cellStyle name="Comma 6 5 3" xfId="675" xr:uid="{00000000-0005-0000-0000-000020020000}"/>
    <cellStyle name="Comma 6 5 4" xfId="676" xr:uid="{00000000-0005-0000-0000-000021020000}"/>
    <cellStyle name="Comma 6 6" xfId="677" xr:uid="{00000000-0005-0000-0000-000022020000}"/>
    <cellStyle name="Comma 6 7" xfId="678" xr:uid="{00000000-0005-0000-0000-000023020000}"/>
    <cellStyle name="Comma 6 7 2" xfId="679" xr:uid="{00000000-0005-0000-0000-000024020000}"/>
    <cellStyle name="Comma 6 7 2 2" xfId="680" xr:uid="{00000000-0005-0000-0000-000025020000}"/>
    <cellStyle name="Comma 6 7 3" xfId="681" xr:uid="{00000000-0005-0000-0000-000026020000}"/>
    <cellStyle name="Comma 6 7 4" xfId="682" xr:uid="{00000000-0005-0000-0000-000027020000}"/>
    <cellStyle name="Comma 6 8" xfId="683" xr:uid="{00000000-0005-0000-0000-000028020000}"/>
    <cellStyle name="Comma 6 8 2" xfId="684" xr:uid="{00000000-0005-0000-0000-000029020000}"/>
    <cellStyle name="Comma 6 8 2 2" xfId="685" xr:uid="{00000000-0005-0000-0000-00002A020000}"/>
    <cellStyle name="Comma 6 8 3" xfId="686" xr:uid="{00000000-0005-0000-0000-00002B020000}"/>
    <cellStyle name="Comma 6 8 4" xfId="687" xr:uid="{00000000-0005-0000-0000-00002C020000}"/>
    <cellStyle name="Comma 6 9" xfId="688" xr:uid="{00000000-0005-0000-0000-00002D020000}"/>
    <cellStyle name="Comma 6 9 2" xfId="689" xr:uid="{00000000-0005-0000-0000-00002E020000}"/>
    <cellStyle name="Comma 6 9 2 2" xfId="690" xr:uid="{00000000-0005-0000-0000-00002F020000}"/>
    <cellStyle name="Comma 6 9 3" xfId="691" xr:uid="{00000000-0005-0000-0000-000030020000}"/>
    <cellStyle name="Comma 60" xfId="692" xr:uid="{00000000-0005-0000-0000-000031020000}"/>
    <cellStyle name="Comma 61" xfId="693" xr:uid="{00000000-0005-0000-0000-000032020000}"/>
    <cellStyle name="Comma 62" xfId="694" xr:uid="{00000000-0005-0000-0000-000033020000}"/>
    <cellStyle name="Comma 63" xfId="695" xr:uid="{00000000-0005-0000-0000-000034020000}"/>
    <cellStyle name="Comma 64" xfId="696" xr:uid="{00000000-0005-0000-0000-000035020000}"/>
    <cellStyle name="Comma 65" xfId="697" xr:uid="{00000000-0005-0000-0000-000036020000}"/>
    <cellStyle name="Comma 66" xfId="698" xr:uid="{00000000-0005-0000-0000-000037020000}"/>
    <cellStyle name="Comma 67" xfId="699" xr:uid="{00000000-0005-0000-0000-000038020000}"/>
    <cellStyle name="Comma 68" xfId="700" xr:uid="{00000000-0005-0000-0000-000039020000}"/>
    <cellStyle name="Comma 69" xfId="701" xr:uid="{00000000-0005-0000-0000-00003A020000}"/>
    <cellStyle name="Comma 7" xfId="101" xr:uid="{00000000-0005-0000-0000-00003B020000}"/>
    <cellStyle name="Comma 70" xfId="702" xr:uid="{00000000-0005-0000-0000-00003C020000}"/>
    <cellStyle name="Comma 71" xfId="703" xr:uid="{00000000-0005-0000-0000-00003D020000}"/>
    <cellStyle name="Comma 72" xfId="704" xr:uid="{00000000-0005-0000-0000-00003E020000}"/>
    <cellStyle name="Comma 73" xfId="705" xr:uid="{00000000-0005-0000-0000-00003F020000}"/>
    <cellStyle name="Comma 74" xfId="706" xr:uid="{00000000-0005-0000-0000-000040020000}"/>
    <cellStyle name="Comma 74 2" xfId="707" xr:uid="{00000000-0005-0000-0000-000041020000}"/>
    <cellStyle name="Comma 75" xfId="708" xr:uid="{00000000-0005-0000-0000-000042020000}"/>
    <cellStyle name="Comma 75 2" xfId="709" xr:uid="{00000000-0005-0000-0000-000043020000}"/>
    <cellStyle name="Comma 76" xfId="710" xr:uid="{00000000-0005-0000-0000-000044020000}"/>
    <cellStyle name="Comma 76 2" xfId="711" xr:uid="{00000000-0005-0000-0000-000045020000}"/>
    <cellStyle name="Comma 77" xfId="712" xr:uid="{00000000-0005-0000-0000-000046020000}"/>
    <cellStyle name="Comma 77 2" xfId="713" xr:uid="{00000000-0005-0000-0000-000047020000}"/>
    <cellStyle name="Comma 78" xfId="714" xr:uid="{00000000-0005-0000-0000-000048020000}"/>
    <cellStyle name="Comma 79" xfId="715" xr:uid="{00000000-0005-0000-0000-000049020000}"/>
    <cellStyle name="Comma 79 2" xfId="716" xr:uid="{00000000-0005-0000-0000-00004A020000}"/>
    <cellStyle name="Comma 8" xfId="104" xr:uid="{00000000-0005-0000-0000-00004B020000}"/>
    <cellStyle name="Comma 8 10" xfId="717" xr:uid="{00000000-0005-0000-0000-00004C020000}"/>
    <cellStyle name="Comma 8 2" xfId="145" xr:uid="{00000000-0005-0000-0000-00004D020000}"/>
    <cellStyle name="Comma 8 2 2" xfId="718" xr:uid="{00000000-0005-0000-0000-00004E020000}"/>
    <cellStyle name="Comma 8 2 2 2" xfId="719" xr:uid="{00000000-0005-0000-0000-00004F020000}"/>
    <cellStyle name="Comma 8 2 2 2 2" xfId="720" xr:uid="{00000000-0005-0000-0000-000050020000}"/>
    <cellStyle name="Comma 8 2 2 3" xfId="721" xr:uid="{00000000-0005-0000-0000-000051020000}"/>
    <cellStyle name="Comma 8 2 2 4" xfId="722" xr:uid="{00000000-0005-0000-0000-000052020000}"/>
    <cellStyle name="Comma 8 2 3" xfId="723" xr:uid="{00000000-0005-0000-0000-000053020000}"/>
    <cellStyle name="Comma 8 2 3 2" xfId="724" xr:uid="{00000000-0005-0000-0000-000054020000}"/>
    <cellStyle name="Comma 8 2 4" xfId="725" xr:uid="{00000000-0005-0000-0000-000055020000}"/>
    <cellStyle name="Comma 8 2 5" xfId="726" xr:uid="{00000000-0005-0000-0000-000056020000}"/>
    <cellStyle name="Comma 8 3" xfId="727" xr:uid="{00000000-0005-0000-0000-000057020000}"/>
    <cellStyle name="Comma 8 3 2" xfId="728" xr:uid="{00000000-0005-0000-0000-000058020000}"/>
    <cellStyle name="Comma 8 3 2 2" xfId="729" xr:uid="{00000000-0005-0000-0000-000059020000}"/>
    <cellStyle name="Comma 8 3 2 2 2" xfId="730" xr:uid="{00000000-0005-0000-0000-00005A020000}"/>
    <cellStyle name="Comma 8 3 2 3" xfId="731" xr:uid="{00000000-0005-0000-0000-00005B020000}"/>
    <cellStyle name="Comma 8 3 2 4" xfId="732" xr:uid="{00000000-0005-0000-0000-00005C020000}"/>
    <cellStyle name="Comma 8 3 3" xfId="733" xr:uid="{00000000-0005-0000-0000-00005D020000}"/>
    <cellStyle name="Comma 8 3 3 2" xfId="734" xr:uid="{00000000-0005-0000-0000-00005E020000}"/>
    <cellStyle name="Comma 8 3 4" xfId="735" xr:uid="{00000000-0005-0000-0000-00005F020000}"/>
    <cellStyle name="Comma 8 3 5" xfId="736" xr:uid="{00000000-0005-0000-0000-000060020000}"/>
    <cellStyle name="Comma 8 4" xfId="737" xr:uid="{00000000-0005-0000-0000-000061020000}"/>
    <cellStyle name="Comma 8 4 2" xfId="738" xr:uid="{00000000-0005-0000-0000-000062020000}"/>
    <cellStyle name="Comma 8 4 2 2" xfId="739" xr:uid="{00000000-0005-0000-0000-000063020000}"/>
    <cellStyle name="Comma 8 4 2 2 2" xfId="740" xr:uid="{00000000-0005-0000-0000-000064020000}"/>
    <cellStyle name="Comma 8 4 2 3" xfId="741" xr:uid="{00000000-0005-0000-0000-000065020000}"/>
    <cellStyle name="Comma 8 4 2 4" xfId="742" xr:uid="{00000000-0005-0000-0000-000066020000}"/>
    <cellStyle name="Comma 8 4 3" xfId="743" xr:uid="{00000000-0005-0000-0000-000067020000}"/>
    <cellStyle name="Comma 8 4 3 2" xfId="744" xr:uid="{00000000-0005-0000-0000-000068020000}"/>
    <cellStyle name="Comma 8 4 4" xfId="745" xr:uid="{00000000-0005-0000-0000-000069020000}"/>
    <cellStyle name="Comma 8 4 5" xfId="746" xr:uid="{00000000-0005-0000-0000-00006A020000}"/>
    <cellStyle name="Comma 8 5" xfId="747" xr:uid="{00000000-0005-0000-0000-00006B020000}"/>
    <cellStyle name="Comma 8 5 2" xfId="748" xr:uid="{00000000-0005-0000-0000-00006C020000}"/>
    <cellStyle name="Comma 8 5 2 2" xfId="749" xr:uid="{00000000-0005-0000-0000-00006D020000}"/>
    <cellStyle name="Comma 8 5 3" xfId="750" xr:uid="{00000000-0005-0000-0000-00006E020000}"/>
    <cellStyle name="Comma 8 5 4" xfId="751" xr:uid="{00000000-0005-0000-0000-00006F020000}"/>
    <cellStyle name="Comma 8 6" xfId="752" xr:uid="{00000000-0005-0000-0000-000070020000}"/>
    <cellStyle name="Comma 8 7" xfId="753" xr:uid="{00000000-0005-0000-0000-000071020000}"/>
    <cellStyle name="Comma 8 7 2" xfId="754" xr:uid="{00000000-0005-0000-0000-000072020000}"/>
    <cellStyle name="Comma 8 7 2 2" xfId="755" xr:uid="{00000000-0005-0000-0000-000073020000}"/>
    <cellStyle name="Comma 8 7 3" xfId="756" xr:uid="{00000000-0005-0000-0000-000074020000}"/>
    <cellStyle name="Comma 8 7 4" xfId="757" xr:uid="{00000000-0005-0000-0000-000075020000}"/>
    <cellStyle name="Comma 8 8" xfId="758" xr:uid="{00000000-0005-0000-0000-000076020000}"/>
    <cellStyle name="Comma 8 8 2" xfId="759" xr:uid="{00000000-0005-0000-0000-000077020000}"/>
    <cellStyle name="Comma 8 8 2 2" xfId="760" xr:uid="{00000000-0005-0000-0000-000078020000}"/>
    <cellStyle name="Comma 8 8 3" xfId="761" xr:uid="{00000000-0005-0000-0000-000079020000}"/>
    <cellStyle name="Comma 8 8 4" xfId="762" xr:uid="{00000000-0005-0000-0000-00007A020000}"/>
    <cellStyle name="Comma 8 9" xfId="763" xr:uid="{00000000-0005-0000-0000-00007B020000}"/>
    <cellStyle name="Comma 8 9 2" xfId="764" xr:uid="{00000000-0005-0000-0000-00007C020000}"/>
    <cellStyle name="Comma 8 9 2 2" xfId="765" xr:uid="{00000000-0005-0000-0000-00007D020000}"/>
    <cellStyle name="Comma 8 9 3" xfId="766" xr:uid="{00000000-0005-0000-0000-00007E020000}"/>
    <cellStyle name="Comma 80" xfId="767" xr:uid="{00000000-0005-0000-0000-00007F020000}"/>
    <cellStyle name="Comma 80 2" xfId="768" xr:uid="{00000000-0005-0000-0000-000080020000}"/>
    <cellStyle name="Comma 81" xfId="769" xr:uid="{00000000-0005-0000-0000-000081020000}"/>
    <cellStyle name="Comma 82" xfId="770" xr:uid="{00000000-0005-0000-0000-000082020000}"/>
    <cellStyle name="Comma 83" xfId="771" xr:uid="{00000000-0005-0000-0000-000083020000}"/>
    <cellStyle name="Comma 84" xfId="772" xr:uid="{00000000-0005-0000-0000-000084020000}"/>
    <cellStyle name="Comma 85" xfId="773" xr:uid="{00000000-0005-0000-0000-000085020000}"/>
    <cellStyle name="Comma 86" xfId="774" xr:uid="{00000000-0005-0000-0000-000086020000}"/>
    <cellStyle name="Comma 87" xfId="775" xr:uid="{00000000-0005-0000-0000-000087020000}"/>
    <cellStyle name="Comma 88" xfId="776" xr:uid="{00000000-0005-0000-0000-000088020000}"/>
    <cellStyle name="Comma 89" xfId="777" xr:uid="{00000000-0005-0000-0000-000089020000}"/>
    <cellStyle name="Comma 9" xfId="105" xr:uid="{00000000-0005-0000-0000-00008A020000}"/>
    <cellStyle name="Comma 9 10" xfId="778" xr:uid="{00000000-0005-0000-0000-00008B020000}"/>
    <cellStyle name="Comma 9 2" xfId="146" xr:uid="{00000000-0005-0000-0000-00008C020000}"/>
    <cellStyle name="Comma 9 2 2" xfId="779" xr:uid="{00000000-0005-0000-0000-00008D020000}"/>
    <cellStyle name="Comma 9 2 2 2" xfId="780" xr:uid="{00000000-0005-0000-0000-00008E020000}"/>
    <cellStyle name="Comma 9 2 2 2 2" xfId="781" xr:uid="{00000000-0005-0000-0000-00008F020000}"/>
    <cellStyle name="Comma 9 2 2 3" xfId="782" xr:uid="{00000000-0005-0000-0000-000090020000}"/>
    <cellStyle name="Comma 9 2 2 4" xfId="783" xr:uid="{00000000-0005-0000-0000-000091020000}"/>
    <cellStyle name="Comma 9 2 3" xfId="784" xr:uid="{00000000-0005-0000-0000-000092020000}"/>
    <cellStyle name="Comma 9 2 3 2" xfId="785" xr:uid="{00000000-0005-0000-0000-000093020000}"/>
    <cellStyle name="Comma 9 2 4" xfId="786" xr:uid="{00000000-0005-0000-0000-000094020000}"/>
    <cellStyle name="Comma 9 2 5" xfId="787" xr:uid="{00000000-0005-0000-0000-000095020000}"/>
    <cellStyle name="Comma 9 3" xfId="788" xr:uid="{00000000-0005-0000-0000-000096020000}"/>
    <cellStyle name="Comma 9 3 2" xfId="789" xr:uid="{00000000-0005-0000-0000-000097020000}"/>
    <cellStyle name="Comma 9 3 2 2" xfId="790" xr:uid="{00000000-0005-0000-0000-000098020000}"/>
    <cellStyle name="Comma 9 3 2 2 2" xfId="791" xr:uid="{00000000-0005-0000-0000-000099020000}"/>
    <cellStyle name="Comma 9 3 2 3" xfId="792" xr:uid="{00000000-0005-0000-0000-00009A020000}"/>
    <cellStyle name="Comma 9 3 2 4" xfId="793" xr:uid="{00000000-0005-0000-0000-00009B020000}"/>
    <cellStyle name="Comma 9 3 3" xfId="794" xr:uid="{00000000-0005-0000-0000-00009C020000}"/>
    <cellStyle name="Comma 9 3 3 2" xfId="795" xr:uid="{00000000-0005-0000-0000-00009D020000}"/>
    <cellStyle name="Comma 9 3 4" xfId="796" xr:uid="{00000000-0005-0000-0000-00009E020000}"/>
    <cellStyle name="Comma 9 3 5" xfId="797" xr:uid="{00000000-0005-0000-0000-00009F020000}"/>
    <cellStyle name="Comma 9 4" xfId="798" xr:uid="{00000000-0005-0000-0000-0000A0020000}"/>
    <cellStyle name="Comma 9 4 2" xfId="799" xr:uid="{00000000-0005-0000-0000-0000A1020000}"/>
    <cellStyle name="Comma 9 4 2 2" xfId="800" xr:uid="{00000000-0005-0000-0000-0000A2020000}"/>
    <cellStyle name="Comma 9 4 2 2 2" xfId="801" xr:uid="{00000000-0005-0000-0000-0000A3020000}"/>
    <cellStyle name="Comma 9 4 2 3" xfId="802" xr:uid="{00000000-0005-0000-0000-0000A4020000}"/>
    <cellStyle name="Comma 9 4 2 4" xfId="803" xr:uid="{00000000-0005-0000-0000-0000A5020000}"/>
    <cellStyle name="Comma 9 4 3" xfId="804" xr:uid="{00000000-0005-0000-0000-0000A6020000}"/>
    <cellStyle name="Comma 9 4 3 2" xfId="805" xr:uid="{00000000-0005-0000-0000-0000A7020000}"/>
    <cellStyle name="Comma 9 4 4" xfId="806" xr:uid="{00000000-0005-0000-0000-0000A8020000}"/>
    <cellStyle name="Comma 9 4 5" xfId="807" xr:uid="{00000000-0005-0000-0000-0000A9020000}"/>
    <cellStyle name="Comma 9 5" xfId="808" xr:uid="{00000000-0005-0000-0000-0000AA020000}"/>
    <cellStyle name="Comma 9 5 2" xfId="809" xr:uid="{00000000-0005-0000-0000-0000AB020000}"/>
    <cellStyle name="Comma 9 5 2 2" xfId="810" xr:uid="{00000000-0005-0000-0000-0000AC020000}"/>
    <cellStyle name="Comma 9 5 3" xfId="811" xr:uid="{00000000-0005-0000-0000-0000AD020000}"/>
    <cellStyle name="Comma 9 5 4" xfId="812" xr:uid="{00000000-0005-0000-0000-0000AE020000}"/>
    <cellStyle name="Comma 9 6" xfId="813" xr:uid="{00000000-0005-0000-0000-0000AF020000}"/>
    <cellStyle name="Comma 9 7" xfId="814" xr:uid="{00000000-0005-0000-0000-0000B0020000}"/>
    <cellStyle name="Comma 9 7 2" xfId="815" xr:uid="{00000000-0005-0000-0000-0000B1020000}"/>
    <cellStyle name="Comma 9 7 2 2" xfId="816" xr:uid="{00000000-0005-0000-0000-0000B2020000}"/>
    <cellStyle name="Comma 9 7 3" xfId="817" xr:uid="{00000000-0005-0000-0000-0000B3020000}"/>
    <cellStyle name="Comma 9 7 4" xfId="818" xr:uid="{00000000-0005-0000-0000-0000B4020000}"/>
    <cellStyle name="Comma 9 8" xfId="819" xr:uid="{00000000-0005-0000-0000-0000B5020000}"/>
    <cellStyle name="Comma 9 8 2" xfId="820" xr:uid="{00000000-0005-0000-0000-0000B6020000}"/>
    <cellStyle name="Comma 9 8 2 2" xfId="821" xr:uid="{00000000-0005-0000-0000-0000B7020000}"/>
    <cellStyle name="Comma 9 8 3" xfId="822" xr:uid="{00000000-0005-0000-0000-0000B8020000}"/>
    <cellStyle name="Comma 9 8 4" xfId="823" xr:uid="{00000000-0005-0000-0000-0000B9020000}"/>
    <cellStyle name="Comma 9 9" xfId="824" xr:uid="{00000000-0005-0000-0000-0000BA020000}"/>
    <cellStyle name="Comma 9 9 2" xfId="825" xr:uid="{00000000-0005-0000-0000-0000BB020000}"/>
    <cellStyle name="Comma 9 9 2 2" xfId="826" xr:uid="{00000000-0005-0000-0000-0000BC020000}"/>
    <cellStyle name="Comma 9 9 3" xfId="827" xr:uid="{00000000-0005-0000-0000-0000BD020000}"/>
    <cellStyle name="Comma 90" xfId="828" xr:uid="{00000000-0005-0000-0000-0000BE020000}"/>
    <cellStyle name="Comma 91" xfId="829" xr:uid="{00000000-0005-0000-0000-0000BF020000}"/>
    <cellStyle name="Comma 92" xfId="830" xr:uid="{00000000-0005-0000-0000-0000C0020000}"/>
    <cellStyle name="Comma 93" xfId="831" xr:uid="{00000000-0005-0000-0000-0000C1020000}"/>
    <cellStyle name="Comma 94" xfId="832" xr:uid="{00000000-0005-0000-0000-0000C2020000}"/>
    <cellStyle name="Comma 95" xfId="833" xr:uid="{00000000-0005-0000-0000-0000C3020000}"/>
    <cellStyle name="Comma 96" xfId="834" xr:uid="{00000000-0005-0000-0000-0000C4020000}"/>
    <cellStyle name="Comma 97" xfId="835" xr:uid="{00000000-0005-0000-0000-0000C5020000}"/>
    <cellStyle name="Comma 98" xfId="836" xr:uid="{00000000-0005-0000-0000-0000C6020000}"/>
    <cellStyle name="Comma 99" xfId="837" xr:uid="{00000000-0005-0000-0000-0000C7020000}"/>
    <cellStyle name="comma zerodec" xfId="838" xr:uid="{00000000-0005-0000-0000-0000C8020000}"/>
    <cellStyle name="Comma0" xfId="839" xr:uid="{00000000-0005-0000-0000-0000C9020000}"/>
    <cellStyle name="Currency (2)" xfId="840" xr:uid="{00000000-0005-0000-0000-0000CB020000}"/>
    <cellStyle name="Currency [00]" xfId="841" xr:uid="{00000000-0005-0000-0000-0000CC020000}"/>
    <cellStyle name="Currency [1]" xfId="842" xr:uid="{00000000-0005-0000-0000-0000CD020000}"/>
    <cellStyle name="Currency [2]" xfId="843" xr:uid="{00000000-0005-0000-0000-0000CE020000}"/>
    <cellStyle name="Currency 0" xfId="844" xr:uid="{00000000-0005-0000-0000-0000CF020000}"/>
    <cellStyle name="Currency 0.00" xfId="845" xr:uid="{00000000-0005-0000-0000-0000D0020000}"/>
    <cellStyle name="Currency 10" xfId="846" xr:uid="{00000000-0005-0000-0000-0000D1020000}"/>
    <cellStyle name="Currency 100" xfId="847" xr:uid="{00000000-0005-0000-0000-0000D2020000}"/>
    <cellStyle name="Currency 101" xfId="848" xr:uid="{00000000-0005-0000-0000-0000D3020000}"/>
    <cellStyle name="Currency 102" xfId="849" xr:uid="{00000000-0005-0000-0000-0000D4020000}"/>
    <cellStyle name="Currency 103" xfId="850" xr:uid="{00000000-0005-0000-0000-0000D5020000}"/>
    <cellStyle name="Currency 104" xfId="851" xr:uid="{00000000-0005-0000-0000-0000D6020000}"/>
    <cellStyle name="Currency 105" xfId="852" xr:uid="{00000000-0005-0000-0000-0000D7020000}"/>
    <cellStyle name="Currency 106" xfId="853" xr:uid="{00000000-0005-0000-0000-0000D8020000}"/>
    <cellStyle name="Currency 107" xfId="854" xr:uid="{00000000-0005-0000-0000-0000D9020000}"/>
    <cellStyle name="Currency 108" xfId="855" xr:uid="{00000000-0005-0000-0000-0000DA020000}"/>
    <cellStyle name="Currency 109" xfId="856" xr:uid="{00000000-0005-0000-0000-0000DB020000}"/>
    <cellStyle name="Currency 11" xfId="857" xr:uid="{00000000-0005-0000-0000-0000DC020000}"/>
    <cellStyle name="Currency 110" xfId="858" xr:uid="{00000000-0005-0000-0000-0000DD020000}"/>
    <cellStyle name="Currency 111" xfId="859" xr:uid="{00000000-0005-0000-0000-0000DE020000}"/>
    <cellStyle name="Currency 112" xfId="860" xr:uid="{00000000-0005-0000-0000-0000DF020000}"/>
    <cellStyle name="Currency 113" xfId="861" xr:uid="{00000000-0005-0000-0000-0000E0020000}"/>
    <cellStyle name="Currency 114" xfId="862" xr:uid="{00000000-0005-0000-0000-0000E1020000}"/>
    <cellStyle name="Currency 115" xfId="863" xr:uid="{00000000-0005-0000-0000-0000E2020000}"/>
    <cellStyle name="Currency 116" xfId="864" xr:uid="{00000000-0005-0000-0000-0000E3020000}"/>
    <cellStyle name="Currency 117" xfId="865" xr:uid="{00000000-0005-0000-0000-0000E4020000}"/>
    <cellStyle name="Currency 118" xfId="866" xr:uid="{00000000-0005-0000-0000-0000E5020000}"/>
    <cellStyle name="Currency 119" xfId="867" xr:uid="{00000000-0005-0000-0000-0000E6020000}"/>
    <cellStyle name="Currency 12" xfId="868" xr:uid="{00000000-0005-0000-0000-0000E7020000}"/>
    <cellStyle name="Currency 120" xfId="869" xr:uid="{00000000-0005-0000-0000-0000E8020000}"/>
    <cellStyle name="Currency 121" xfId="870" xr:uid="{00000000-0005-0000-0000-0000E9020000}"/>
    <cellStyle name="Currency 122" xfId="871" xr:uid="{00000000-0005-0000-0000-0000EA020000}"/>
    <cellStyle name="Currency 123" xfId="872" xr:uid="{00000000-0005-0000-0000-0000EB020000}"/>
    <cellStyle name="Currency 124" xfId="873" xr:uid="{00000000-0005-0000-0000-0000EC020000}"/>
    <cellStyle name="Currency 125" xfId="874" xr:uid="{00000000-0005-0000-0000-0000ED020000}"/>
    <cellStyle name="Currency 126" xfId="875" xr:uid="{00000000-0005-0000-0000-0000EE020000}"/>
    <cellStyle name="Currency 127" xfId="876" xr:uid="{00000000-0005-0000-0000-0000EF020000}"/>
    <cellStyle name="Currency 128" xfId="877" xr:uid="{00000000-0005-0000-0000-0000F0020000}"/>
    <cellStyle name="Currency 129" xfId="878" xr:uid="{00000000-0005-0000-0000-0000F1020000}"/>
    <cellStyle name="Currency 13" xfId="879" xr:uid="{00000000-0005-0000-0000-0000F2020000}"/>
    <cellStyle name="Currency 130" xfId="880" xr:uid="{00000000-0005-0000-0000-0000F3020000}"/>
    <cellStyle name="Currency 131" xfId="881" xr:uid="{00000000-0005-0000-0000-0000F4020000}"/>
    <cellStyle name="Currency 132" xfId="882" xr:uid="{00000000-0005-0000-0000-0000F5020000}"/>
    <cellStyle name="Currency 133" xfId="883" xr:uid="{00000000-0005-0000-0000-0000F6020000}"/>
    <cellStyle name="Currency 134" xfId="884" xr:uid="{00000000-0005-0000-0000-0000F7020000}"/>
    <cellStyle name="Currency 135" xfId="885" xr:uid="{00000000-0005-0000-0000-0000F8020000}"/>
    <cellStyle name="Currency 136" xfId="886" xr:uid="{00000000-0005-0000-0000-0000F9020000}"/>
    <cellStyle name="Currency 137" xfId="887" xr:uid="{00000000-0005-0000-0000-0000FA020000}"/>
    <cellStyle name="Currency 138" xfId="888" xr:uid="{00000000-0005-0000-0000-0000FB020000}"/>
    <cellStyle name="Currency 139" xfId="889" xr:uid="{00000000-0005-0000-0000-0000FC020000}"/>
    <cellStyle name="Currency 14" xfId="890" xr:uid="{00000000-0005-0000-0000-0000FD020000}"/>
    <cellStyle name="Currency 140" xfId="891" xr:uid="{00000000-0005-0000-0000-0000FE020000}"/>
    <cellStyle name="Currency 141" xfId="892" xr:uid="{00000000-0005-0000-0000-0000FF020000}"/>
    <cellStyle name="Currency 142" xfId="893" xr:uid="{00000000-0005-0000-0000-000000030000}"/>
    <cellStyle name="Currency 143" xfId="894" xr:uid="{00000000-0005-0000-0000-000001030000}"/>
    <cellStyle name="Currency 144" xfId="895" xr:uid="{00000000-0005-0000-0000-000002030000}"/>
    <cellStyle name="Currency 145" xfId="896" xr:uid="{00000000-0005-0000-0000-000003030000}"/>
    <cellStyle name="Currency 146" xfId="897" xr:uid="{00000000-0005-0000-0000-000004030000}"/>
    <cellStyle name="Currency 147" xfId="898" xr:uid="{00000000-0005-0000-0000-000005030000}"/>
    <cellStyle name="Currency 148" xfId="899" xr:uid="{00000000-0005-0000-0000-000006030000}"/>
    <cellStyle name="Currency 149" xfId="900" xr:uid="{00000000-0005-0000-0000-000007030000}"/>
    <cellStyle name="Currency 15" xfId="901" xr:uid="{00000000-0005-0000-0000-000008030000}"/>
    <cellStyle name="Currency 150" xfId="902" xr:uid="{00000000-0005-0000-0000-000009030000}"/>
    <cellStyle name="Currency 151" xfId="903" xr:uid="{00000000-0005-0000-0000-00000A030000}"/>
    <cellStyle name="Currency 152" xfId="904" xr:uid="{00000000-0005-0000-0000-00000B030000}"/>
    <cellStyle name="Currency 153" xfId="905" xr:uid="{00000000-0005-0000-0000-00000C030000}"/>
    <cellStyle name="Currency 154" xfId="906" xr:uid="{00000000-0005-0000-0000-00000D030000}"/>
    <cellStyle name="Currency 155" xfId="907" xr:uid="{00000000-0005-0000-0000-00000E030000}"/>
    <cellStyle name="Currency 156" xfId="908" xr:uid="{00000000-0005-0000-0000-00000F030000}"/>
    <cellStyle name="Currency 157" xfId="909" xr:uid="{00000000-0005-0000-0000-000010030000}"/>
    <cellStyle name="Currency 158" xfId="910" xr:uid="{00000000-0005-0000-0000-000011030000}"/>
    <cellStyle name="Currency 159" xfId="911" xr:uid="{00000000-0005-0000-0000-000012030000}"/>
    <cellStyle name="Currency 16" xfId="912" xr:uid="{00000000-0005-0000-0000-000013030000}"/>
    <cellStyle name="Currency 160" xfId="913" xr:uid="{00000000-0005-0000-0000-000014030000}"/>
    <cellStyle name="Currency 161" xfId="914" xr:uid="{00000000-0005-0000-0000-000015030000}"/>
    <cellStyle name="Currency 162" xfId="915" xr:uid="{00000000-0005-0000-0000-000016030000}"/>
    <cellStyle name="Currency 163" xfId="916" xr:uid="{00000000-0005-0000-0000-000017030000}"/>
    <cellStyle name="Currency 164" xfId="917" xr:uid="{00000000-0005-0000-0000-000018030000}"/>
    <cellStyle name="Currency 165" xfId="918" xr:uid="{00000000-0005-0000-0000-000019030000}"/>
    <cellStyle name="Currency 166" xfId="919" xr:uid="{00000000-0005-0000-0000-00001A030000}"/>
    <cellStyle name="Currency 167" xfId="920" xr:uid="{00000000-0005-0000-0000-00001B030000}"/>
    <cellStyle name="Currency 168" xfId="921" xr:uid="{00000000-0005-0000-0000-00001C030000}"/>
    <cellStyle name="Currency 169" xfId="922" xr:uid="{00000000-0005-0000-0000-00001D030000}"/>
    <cellStyle name="Currency 17" xfId="923" xr:uid="{00000000-0005-0000-0000-00001E030000}"/>
    <cellStyle name="Currency 170" xfId="924" xr:uid="{00000000-0005-0000-0000-00001F030000}"/>
    <cellStyle name="Currency 171" xfId="925" xr:uid="{00000000-0005-0000-0000-000020030000}"/>
    <cellStyle name="Currency 172" xfId="926" xr:uid="{00000000-0005-0000-0000-000021030000}"/>
    <cellStyle name="Currency 173" xfId="927" xr:uid="{00000000-0005-0000-0000-000022030000}"/>
    <cellStyle name="Currency 174" xfId="928" xr:uid="{00000000-0005-0000-0000-000023030000}"/>
    <cellStyle name="Currency 175" xfId="929" xr:uid="{00000000-0005-0000-0000-000024030000}"/>
    <cellStyle name="Currency 176" xfId="930" xr:uid="{00000000-0005-0000-0000-000025030000}"/>
    <cellStyle name="Currency 177" xfId="97" xr:uid="{00000000-0005-0000-0000-000026030000}"/>
    <cellStyle name="Currency 18" xfId="931" xr:uid="{00000000-0005-0000-0000-000027030000}"/>
    <cellStyle name="Currency 19" xfId="932" xr:uid="{00000000-0005-0000-0000-000028030000}"/>
    <cellStyle name="Currency 2" xfId="7" xr:uid="{00000000-0005-0000-0000-000029030000}"/>
    <cellStyle name="Currency 2 2" xfId="25" xr:uid="{00000000-0005-0000-0000-00002A030000}"/>
    <cellStyle name="Currency 2 2 2" xfId="933" xr:uid="{00000000-0005-0000-0000-00002B030000}"/>
    <cellStyle name="Currency 2 3" xfId="934" xr:uid="{00000000-0005-0000-0000-00002C030000}"/>
    <cellStyle name="Currency 2 3 2" xfId="935" xr:uid="{00000000-0005-0000-0000-00002D030000}"/>
    <cellStyle name="Currency 2 4" xfId="936" xr:uid="{00000000-0005-0000-0000-00002E030000}"/>
    <cellStyle name="Currency 20" xfId="937" xr:uid="{00000000-0005-0000-0000-00002F030000}"/>
    <cellStyle name="Currency 21" xfId="938" xr:uid="{00000000-0005-0000-0000-000030030000}"/>
    <cellStyle name="Currency 22" xfId="939" xr:uid="{00000000-0005-0000-0000-000031030000}"/>
    <cellStyle name="Currency 23" xfId="940" xr:uid="{00000000-0005-0000-0000-000032030000}"/>
    <cellStyle name="Currency 24" xfId="941" xr:uid="{00000000-0005-0000-0000-000033030000}"/>
    <cellStyle name="Currency 25" xfId="942" xr:uid="{00000000-0005-0000-0000-000034030000}"/>
    <cellStyle name="Currency 26" xfId="943" xr:uid="{00000000-0005-0000-0000-000035030000}"/>
    <cellStyle name="Currency 27" xfId="944" xr:uid="{00000000-0005-0000-0000-000036030000}"/>
    <cellStyle name="Currency 28" xfId="945" xr:uid="{00000000-0005-0000-0000-000037030000}"/>
    <cellStyle name="Currency 29" xfId="946" xr:uid="{00000000-0005-0000-0000-000038030000}"/>
    <cellStyle name="Currency 3" xfId="26" xr:uid="{00000000-0005-0000-0000-000039030000}"/>
    <cellStyle name="Currency 3 2" xfId="27" xr:uid="{00000000-0005-0000-0000-00003A030000}"/>
    <cellStyle name="Currency 3 2 2" xfId="947" xr:uid="{00000000-0005-0000-0000-00003B030000}"/>
    <cellStyle name="Currency 3 2 3" xfId="948" xr:uid="{00000000-0005-0000-0000-00003C030000}"/>
    <cellStyle name="Currency 3 2 4" xfId="949" xr:uid="{00000000-0005-0000-0000-00003D030000}"/>
    <cellStyle name="Currency 3 3" xfId="950" xr:uid="{00000000-0005-0000-0000-00003E030000}"/>
    <cellStyle name="Currency 3 3 2" xfId="951" xr:uid="{00000000-0005-0000-0000-00003F030000}"/>
    <cellStyle name="Currency 3 4" xfId="952" xr:uid="{00000000-0005-0000-0000-000040030000}"/>
    <cellStyle name="Currency 3 5" xfId="953" xr:uid="{00000000-0005-0000-0000-000041030000}"/>
    <cellStyle name="Currency 3 6" xfId="954" xr:uid="{00000000-0005-0000-0000-000042030000}"/>
    <cellStyle name="Currency 30" xfId="955" xr:uid="{00000000-0005-0000-0000-000043030000}"/>
    <cellStyle name="Currency 31" xfId="956" xr:uid="{00000000-0005-0000-0000-000044030000}"/>
    <cellStyle name="Currency 32" xfId="957" xr:uid="{00000000-0005-0000-0000-000045030000}"/>
    <cellStyle name="Currency 33" xfId="958" xr:uid="{00000000-0005-0000-0000-000046030000}"/>
    <cellStyle name="Currency 34" xfId="959" xr:uid="{00000000-0005-0000-0000-000047030000}"/>
    <cellStyle name="Currency 35" xfId="960" xr:uid="{00000000-0005-0000-0000-000048030000}"/>
    <cellStyle name="Currency 36" xfId="961" xr:uid="{00000000-0005-0000-0000-000049030000}"/>
    <cellStyle name="Currency 37" xfId="962" xr:uid="{00000000-0005-0000-0000-00004A030000}"/>
    <cellStyle name="Currency 38" xfId="963" xr:uid="{00000000-0005-0000-0000-00004B030000}"/>
    <cellStyle name="Currency 39" xfId="964" xr:uid="{00000000-0005-0000-0000-00004C030000}"/>
    <cellStyle name="Currency 4" xfId="100" xr:uid="{00000000-0005-0000-0000-00004D030000}"/>
    <cellStyle name="Currency 4 2" xfId="965" xr:uid="{00000000-0005-0000-0000-00004E030000}"/>
    <cellStyle name="Currency 4 3" xfId="966" xr:uid="{00000000-0005-0000-0000-00004F030000}"/>
    <cellStyle name="Currency 4 4" xfId="967" xr:uid="{00000000-0005-0000-0000-000050030000}"/>
    <cellStyle name="Currency 4 5" xfId="968" xr:uid="{00000000-0005-0000-0000-000051030000}"/>
    <cellStyle name="Currency 40" xfId="969" xr:uid="{00000000-0005-0000-0000-000052030000}"/>
    <cellStyle name="Currency 41" xfId="970" xr:uid="{00000000-0005-0000-0000-000053030000}"/>
    <cellStyle name="Currency 42" xfId="971" xr:uid="{00000000-0005-0000-0000-000054030000}"/>
    <cellStyle name="Currency 43" xfId="972" xr:uid="{00000000-0005-0000-0000-000055030000}"/>
    <cellStyle name="Currency 44" xfId="973" xr:uid="{00000000-0005-0000-0000-000056030000}"/>
    <cellStyle name="Currency 45" xfId="974" xr:uid="{00000000-0005-0000-0000-000057030000}"/>
    <cellStyle name="Currency 46" xfId="975" xr:uid="{00000000-0005-0000-0000-000058030000}"/>
    <cellStyle name="Currency 47" xfId="976" xr:uid="{00000000-0005-0000-0000-000059030000}"/>
    <cellStyle name="Currency 48" xfId="977" xr:uid="{00000000-0005-0000-0000-00005A030000}"/>
    <cellStyle name="Currency 49" xfId="978" xr:uid="{00000000-0005-0000-0000-00005B030000}"/>
    <cellStyle name="Currency 5" xfId="979" xr:uid="{00000000-0005-0000-0000-00005C030000}"/>
    <cellStyle name="Currency 5 2" xfId="980" xr:uid="{00000000-0005-0000-0000-00005D030000}"/>
    <cellStyle name="Currency 5 2 2" xfId="981" xr:uid="{00000000-0005-0000-0000-00005E030000}"/>
    <cellStyle name="Currency 5 2 2 2" xfId="982" xr:uid="{00000000-0005-0000-0000-00005F030000}"/>
    <cellStyle name="Currency 5 2 3" xfId="983" xr:uid="{00000000-0005-0000-0000-000060030000}"/>
    <cellStyle name="Currency 5 2 4" xfId="984" xr:uid="{00000000-0005-0000-0000-000061030000}"/>
    <cellStyle name="Currency 5 3" xfId="985" xr:uid="{00000000-0005-0000-0000-000062030000}"/>
    <cellStyle name="Currency 5 4" xfId="986" xr:uid="{00000000-0005-0000-0000-000063030000}"/>
    <cellStyle name="Currency 5 4 2" xfId="987" xr:uid="{00000000-0005-0000-0000-000064030000}"/>
    <cellStyle name="Currency 5 4 2 2" xfId="988" xr:uid="{00000000-0005-0000-0000-000065030000}"/>
    <cellStyle name="Currency 5 4 3" xfId="989" xr:uid="{00000000-0005-0000-0000-000066030000}"/>
    <cellStyle name="Currency 5 5" xfId="990" xr:uid="{00000000-0005-0000-0000-000067030000}"/>
    <cellStyle name="Currency 50" xfId="991" xr:uid="{00000000-0005-0000-0000-000068030000}"/>
    <cellStyle name="Currency 51" xfId="992" xr:uid="{00000000-0005-0000-0000-000069030000}"/>
    <cellStyle name="Currency 52" xfId="993" xr:uid="{00000000-0005-0000-0000-00006A030000}"/>
    <cellStyle name="Currency 53" xfId="994" xr:uid="{00000000-0005-0000-0000-00006B030000}"/>
    <cellStyle name="Currency 54" xfId="995" xr:uid="{00000000-0005-0000-0000-00006C030000}"/>
    <cellStyle name="Currency 55" xfId="996" xr:uid="{00000000-0005-0000-0000-00006D030000}"/>
    <cellStyle name="Currency 56" xfId="997" xr:uid="{00000000-0005-0000-0000-00006E030000}"/>
    <cellStyle name="Currency 57" xfId="998" xr:uid="{00000000-0005-0000-0000-00006F030000}"/>
    <cellStyle name="Currency 58" xfId="999" xr:uid="{00000000-0005-0000-0000-000070030000}"/>
    <cellStyle name="Currency 59" xfId="1000" xr:uid="{00000000-0005-0000-0000-000071030000}"/>
    <cellStyle name="Currency 6" xfId="1001" xr:uid="{00000000-0005-0000-0000-000072030000}"/>
    <cellStyle name="Currency 60" xfId="1002" xr:uid="{00000000-0005-0000-0000-000073030000}"/>
    <cellStyle name="Currency 61" xfId="1003" xr:uid="{00000000-0005-0000-0000-000074030000}"/>
    <cellStyle name="Currency 62" xfId="1004" xr:uid="{00000000-0005-0000-0000-000075030000}"/>
    <cellStyle name="Currency 63" xfId="1005" xr:uid="{00000000-0005-0000-0000-000076030000}"/>
    <cellStyle name="Currency 64" xfId="1006" xr:uid="{00000000-0005-0000-0000-000077030000}"/>
    <cellStyle name="Currency 65" xfId="1007" xr:uid="{00000000-0005-0000-0000-000078030000}"/>
    <cellStyle name="Currency 66" xfId="1008" xr:uid="{00000000-0005-0000-0000-000079030000}"/>
    <cellStyle name="Currency 67" xfId="1009" xr:uid="{00000000-0005-0000-0000-00007A030000}"/>
    <cellStyle name="Currency 68" xfId="1010" xr:uid="{00000000-0005-0000-0000-00007B030000}"/>
    <cellStyle name="Currency 69" xfId="1011" xr:uid="{00000000-0005-0000-0000-00007C030000}"/>
    <cellStyle name="Currency 7" xfId="1012" xr:uid="{00000000-0005-0000-0000-00007D030000}"/>
    <cellStyle name="Currency 7 2" xfId="1013" xr:uid="{00000000-0005-0000-0000-00007E030000}"/>
    <cellStyle name="Currency 70" xfId="1014" xr:uid="{00000000-0005-0000-0000-00007F030000}"/>
    <cellStyle name="Currency 71" xfId="1015" xr:uid="{00000000-0005-0000-0000-000080030000}"/>
    <cellStyle name="Currency 72" xfId="1016" xr:uid="{00000000-0005-0000-0000-000081030000}"/>
    <cellStyle name="Currency 73" xfId="1017" xr:uid="{00000000-0005-0000-0000-000082030000}"/>
    <cellStyle name="Currency 74" xfId="1018" xr:uid="{00000000-0005-0000-0000-000083030000}"/>
    <cellStyle name="Currency 75" xfId="1019" xr:uid="{00000000-0005-0000-0000-000084030000}"/>
    <cellStyle name="Currency 76" xfId="1020" xr:uid="{00000000-0005-0000-0000-000085030000}"/>
    <cellStyle name="Currency 76 2" xfId="1021" xr:uid="{00000000-0005-0000-0000-000086030000}"/>
    <cellStyle name="Currency 77" xfId="1022" xr:uid="{00000000-0005-0000-0000-000087030000}"/>
    <cellStyle name="Currency 77 2" xfId="1023" xr:uid="{00000000-0005-0000-0000-000088030000}"/>
    <cellStyle name="Currency 77 3" xfId="1024" xr:uid="{00000000-0005-0000-0000-000089030000}"/>
    <cellStyle name="Currency 77 4" xfId="1025" xr:uid="{00000000-0005-0000-0000-00008A030000}"/>
    <cellStyle name="Currency 78" xfId="1026" xr:uid="{00000000-0005-0000-0000-00008B030000}"/>
    <cellStyle name="Currency 78 2" xfId="1027" xr:uid="{00000000-0005-0000-0000-00008C030000}"/>
    <cellStyle name="Currency 79" xfId="1028" xr:uid="{00000000-0005-0000-0000-00008D030000}"/>
    <cellStyle name="Currency 79 2" xfId="1029" xr:uid="{00000000-0005-0000-0000-00008E030000}"/>
    <cellStyle name="Currency 8" xfId="1030" xr:uid="{00000000-0005-0000-0000-00008F030000}"/>
    <cellStyle name="Currency 8 2" xfId="1031" xr:uid="{00000000-0005-0000-0000-000090030000}"/>
    <cellStyle name="Currency 80" xfId="1032" xr:uid="{00000000-0005-0000-0000-000091030000}"/>
    <cellStyle name="Currency 81" xfId="1033" xr:uid="{00000000-0005-0000-0000-000092030000}"/>
    <cellStyle name="Currency 81 2" xfId="1034" xr:uid="{00000000-0005-0000-0000-000093030000}"/>
    <cellStyle name="Currency 82" xfId="1035" xr:uid="{00000000-0005-0000-0000-000094030000}"/>
    <cellStyle name="Currency 82 2" xfId="1036" xr:uid="{00000000-0005-0000-0000-000095030000}"/>
    <cellStyle name="Currency 83" xfId="1037" xr:uid="{00000000-0005-0000-0000-000096030000}"/>
    <cellStyle name="Currency 84" xfId="1038" xr:uid="{00000000-0005-0000-0000-000097030000}"/>
    <cellStyle name="Currency 85" xfId="1039" xr:uid="{00000000-0005-0000-0000-000098030000}"/>
    <cellStyle name="Currency 86" xfId="1040" xr:uid="{00000000-0005-0000-0000-000099030000}"/>
    <cellStyle name="Currency 87" xfId="1041" xr:uid="{00000000-0005-0000-0000-00009A030000}"/>
    <cellStyle name="Currency 88" xfId="1042" xr:uid="{00000000-0005-0000-0000-00009B030000}"/>
    <cellStyle name="Currency 89" xfId="1043" xr:uid="{00000000-0005-0000-0000-00009C030000}"/>
    <cellStyle name="Currency 9" xfId="1044" xr:uid="{00000000-0005-0000-0000-00009D030000}"/>
    <cellStyle name="Currency 90" xfId="1045" xr:uid="{00000000-0005-0000-0000-00009E030000}"/>
    <cellStyle name="Currency 91" xfId="1046" xr:uid="{00000000-0005-0000-0000-00009F030000}"/>
    <cellStyle name="Currency 92" xfId="1047" xr:uid="{00000000-0005-0000-0000-0000A0030000}"/>
    <cellStyle name="Currency 93" xfId="1048" xr:uid="{00000000-0005-0000-0000-0000A1030000}"/>
    <cellStyle name="Currency 94" xfId="1049" xr:uid="{00000000-0005-0000-0000-0000A2030000}"/>
    <cellStyle name="Currency 95" xfId="1050" xr:uid="{00000000-0005-0000-0000-0000A3030000}"/>
    <cellStyle name="Currency 96" xfId="1051" xr:uid="{00000000-0005-0000-0000-0000A4030000}"/>
    <cellStyle name="Currency 97" xfId="1052" xr:uid="{00000000-0005-0000-0000-0000A5030000}"/>
    <cellStyle name="Currency 98" xfId="1053" xr:uid="{00000000-0005-0000-0000-0000A6030000}"/>
    <cellStyle name="Currency 99" xfId="1054" xr:uid="{00000000-0005-0000-0000-0000A7030000}"/>
    <cellStyle name="Currency.brdr" xfId="1055" xr:uid="{00000000-0005-0000-0000-0000A8030000}"/>
    <cellStyle name="Currency.brdr 2" xfId="1056" xr:uid="{00000000-0005-0000-0000-0000A9030000}"/>
    <cellStyle name="Currency0" xfId="1057" xr:uid="{00000000-0005-0000-0000-0000AA030000}"/>
    <cellStyle name="Currency1" xfId="1058" xr:uid="{00000000-0005-0000-0000-0000AB030000}"/>
    <cellStyle name="D" xfId="28" xr:uid="{00000000-0005-0000-0000-0000AC030000}"/>
    <cellStyle name="d 10" xfId="1059" xr:uid="{00000000-0005-0000-0000-0000AD030000}"/>
    <cellStyle name="D 11" xfId="1060" xr:uid="{00000000-0005-0000-0000-0000AE030000}"/>
    <cellStyle name="D 12" xfId="1061" xr:uid="{00000000-0005-0000-0000-0000AF030000}"/>
    <cellStyle name="D 13" xfId="1062" xr:uid="{00000000-0005-0000-0000-0000B0030000}"/>
    <cellStyle name="D 14" xfId="1063" xr:uid="{00000000-0005-0000-0000-0000B1030000}"/>
    <cellStyle name="D 15" xfId="1064" xr:uid="{00000000-0005-0000-0000-0000B2030000}"/>
    <cellStyle name="D 16" xfId="1065" xr:uid="{00000000-0005-0000-0000-0000B3030000}"/>
    <cellStyle name="D 17" xfId="1066" xr:uid="{00000000-0005-0000-0000-0000B4030000}"/>
    <cellStyle name="D 2" xfId="1067" xr:uid="{00000000-0005-0000-0000-0000B5030000}"/>
    <cellStyle name="d 3" xfId="1068" xr:uid="{00000000-0005-0000-0000-0000B6030000}"/>
    <cellStyle name="d 4" xfId="1069" xr:uid="{00000000-0005-0000-0000-0000B7030000}"/>
    <cellStyle name="d 5" xfId="1070" xr:uid="{00000000-0005-0000-0000-0000B8030000}"/>
    <cellStyle name="d 6" xfId="1071" xr:uid="{00000000-0005-0000-0000-0000B9030000}"/>
    <cellStyle name="d 7" xfId="1072" xr:uid="{00000000-0005-0000-0000-0000BA030000}"/>
    <cellStyle name="d 8" xfId="1073" xr:uid="{00000000-0005-0000-0000-0000BB030000}"/>
    <cellStyle name="d 9" xfId="1074" xr:uid="{00000000-0005-0000-0000-0000BC030000}"/>
    <cellStyle name="D.C.R." xfId="1075" xr:uid="{00000000-0005-0000-0000-0000BD030000}"/>
    <cellStyle name="Dash" xfId="1076" xr:uid="{00000000-0005-0000-0000-0000BE030000}"/>
    <cellStyle name="Date" xfId="1077" xr:uid="{00000000-0005-0000-0000-0000BF030000}"/>
    <cellStyle name="Date (m/d/yyyy)" xfId="115" xr:uid="{00000000-0005-0000-0000-0000C0030000}"/>
    <cellStyle name="Date (m/d/yyyy) 2" xfId="1078" xr:uid="{00000000-0005-0000-0000-0000C1030000}"/>
    <cellStyle name="Date (m/d/yyyy) 2 2" xfId="1079" xr:uid="{00000000-0005-0000-0000-0000C2030000}"/>
    <cellStyle name="Date (m/d/yyyy) 2 2 2" xfId="1080" xr:uid="{00000000-0005-0000-0000-0000C3030000}"/>
    <cellStyle name="Date (m/d/yyyy) 2 2 2 2" xfId="1081" xr:uid="{00000000-0005-0000-0000-0000C4030000}"/>
    <cellStyle name="Date (m/d/yyyy) 2 2 3" xfId="1082" xr:uid="{00000000-0005-0000-0000-0000C5030000}"/>
    <cellStyle name="Date (m/d/yyyy) 2 2 4" xfId="1083" xr:uid="{00000000-0005-0000-0000-0000C6030000}"/>
    <cellStyle name="Date (m/d/yyyy) 2 3" xfId="1084" xr:uid="{00000000-0005-0000-0000-0000C7030000}"/>
    <cellStyle name="Date (m/d/yyyy) 2 3 2" xfId="1085" xr:uid="{00000000-0005-0000-0000-0000C8030000}"/>
    <cellStyle name="Date (m/d/yyyy) 2 4" xfId="1086" xr:uid="{00000000-0005-0000-0000-0000C9030000}"/>
    <cellStyle name="Date (m/d/yyyy) 2 5" xfId="1087" xr:uid="{00000000-0005-0000-0000-0000CA030000}"/>
    <cellStyle name="Date (m/d/yyyy) 3" xfId="1088" xr:uid="{00000000-0005-0000-0000-0000CB030000}"/>
    <cellStyle name="Date (m/d/yyyy) 3 2" xfId="1089" xr:uid="{00000000-0005-0000-0000-0000CC030000}"/>
    <cellStyle name="Date (m/d/yyyy) 3 2 2" xfId="1090" xr:uid="{00000000-0005-0000-0000-0000CD030000}"/>
    <cellStyle name="Date (m/d/yyyy) 3 3" xfId="1091" xr:uid="{00000000-0005-0000-0000-0000CE030000}"/>
    <cellStyle name="Date (m/d/yyyy) 3 4" xfId="1092" xr:uid="{00000000-0005-0000-0000-0000CF030000}"/>
    <cellStyle name="Date (m/d/yyyy) 4" xfId="1093" xr:uid="{00000000-0005-0000-0000-0000D0030000}"/>
    <cellStyle name="Date (m/d/yyyy) 4 2" xfId="1094" xr:uid="{00000000-0005-0000-0000-0000D1030000}"/>
    <cellStyle name="Date (m/d/yyyy) 4 2 2" xfId="1095" xr:uid="{00000000-0005-0000-0000-0000D2030000}"/>
    <cellStyle name="Date (m/d/yyyy) 4 3" xfId="1096" xr:uid="{00000000-0005-0000-0000-0000D3030000}"/>
    <cellStyle name="Date (m/d/yyyy) 4 4" xfId="1097" xr:uid="{00000000-0005-0000-0000-0000D4030000}"/>
    <cellStyle name="Date (m/d/yyyy) 5" xfId="1098" xr:uid="{00000000-0005-0000-0000-0000D5030000}"/>
    <cellStyle name="Date (m/d/yyyy) 5 2" xfId="1099" xr:uid="{00000000-0005-0000-0000-0000D6030000}"/>
    <cellStyle name="Date (m/d/yyyy) 5 2 2" xfId="1100" xr:uid="{00000000-0005-0000-0000-0000D7030000}"/>
    <cellStyle name="Date (m/d/yyyy) 5 3" xfId="1101" xr:uid="{00000000-0005-0000-0000-0000D8030000}"/>
    <cellStyle name="Date (m/d/yyyy) 5 4" xfId="1102" xr:uid="{00000000-0005-0000-0000-0000D9030000}"/>
    <cellStyle name="Date (m/d/yyyy) 6" xfId="1103" xr:uid="{00000000-0005-0000-0000-0000DA030000}"/>
    <cellStyle name="Date (m/d/yyyy) 6 2" xfId="1104" xr:uid="{00000000-0005-0000-0000-0000DB030000}"/>
    <cellStyle name="Date (m/d/yyyy) 7" xfId="1105" xr:uid="{00000000-0005-0000-0000-0000DC030000}"/>
    <cellStyle name="Date (m/d/yyyy) 8" xfId="1106" xr:uid="{00000000-0005-0000-0000-0000DD030000}"/>
    <cellStyle name="Date (mmm-yyyy)" xfId="116" xr:uid="{00000000-0005-0000-0000-0000DE030000}"/>
    <cellStyle name="Date (mmm-yyyy) 2" xfId="1107" xr:uid="{00000000-0005-0000-0000-0000DF030000}"/>
    <cellStyle name="Date (mmm-yyyy) 2 2" xfId="1108" xr:uid="{00000000-0005-0000-0000-0000E0030000}"/>
    <cellStyle name="Date (mmm-yyyy) 2 2 2" xfId="1109" xr:uid="{00000000-0005-0000-0000-0000E1030000}"/>
    <cellStyle name="Date (mmm-yyyy) 2 2 2 2" xfId="1110" xr:uid="{00000000-0005-0000-0000-0000E2030000}"/>
    <cellStyle name="Date (mmm-yyyy) 2 2 3" xfId="1111" xr:uid="{00000000-0005-0000-0000-0000E3030000}"/>
    <cellStyle name="Date (mmm-yyyy) 2 2 4" xfId="1112" xr:uid="{00000000-0005-0000-0000-0000E4030000}"/>
    <cellStyle name="Date (mmm-yyyy) 2 3" xfId="1113" xr:uid="{00000000-0005-0000-0000-0000E5030000}"/>
    <cellStyle name="Date (mmm-yyyy) 2 3 2" xfId="1114" xr:uid="{00000000-0005-0000-0000-0000E6030000}"/>
    <cellStyle name="Date (mmm-yyyy) 2 4" xfId="1115" xr:uid="{00000000-0005-0000-0000-0000E7030000}"/>
    <cellStyle name="Date (mmm-yyyy) 2 5" xfId="1116" xr:uid="{00000000-0005-0000-0000-0000E8030000}"/>
    <cellStyle name="Date (mmm-yyyy) 3" xfId="1117" xr:uid="{00000000-0005-0000-0000-0000E9030000}"/>
    <cellStyle name="Date (mmm-yyyy) 3 2" xfId="1118" xr:uid="{00000000-0005-0000-0000-0000EA030000}"/>
    <cellStyle name="Date (mmm-yyyy) 3 2 2" xfId="1119" xr:uid="{00000000-0005-0000-0000-0000EB030000}"/>
    <cellStyle name="Date (mmm-yyyy) 3 3" xfId="1120" xr:uid="{00000000-0005-0000-0000-0000EC030000}"/>
    <cellStyle name="Date (mmm-yyyy) 3 4" xfId="1121" xr:uid="{00000000-0005-0000-0000-0000ED030000}"/>
    <cellStyle name="Date (mmm-yyyy) 4" xfId="1122" xr:uid="{00000000-0005-0000-0000-0000EE030000}"/>
    <cellStyle name="Date (mmm-yyyy) 4 2" xfId="1123" xr:uid="{00000000-0005-0000-0000-0000EF030000}"/>
    <cellStyle name="Date (mmm-yyyy) 4 2 2" xfId="1124" xr:uid="{00000000-0005-0000-0000-0000F0030000}"/>
    <cellStyle name="Date (mmm-yyyy) 4 3" xfId="1125" xr:uid="{00000000-0005-0000-0000-0000F1030000}"/>
    <cellStyle name="Date (mmm-yyyy) 4 4" xfId="1126" xr:uid="{00000000-0005-0000-0000-0000F2030000}"/>
    <cellStyle name="Date (mmm-yyyy) 5" xfId="1127" xr:uid="{00000000-0005-0000-0000-0000F3030000}"/>
    <cellStyle name="Date (mmm-yyyy) 5 2" xfId="1128" xr:uid="{00000000-0005-0000-0000-0000F4030000}"/>
    <cellStyle name="Date (mmm-yyyy) 5 2 2" xfId="1129" xr:uid="{00000000-0005-0000-0000-0000F5030000}"/>
    <cellStyle name="Date (mmm-yyyy) 5 3" xfId="1130" xr:uid="{00000000-0005-0000-0000-0000F6030000}"/>
    <cellStyle name="Date (mmm-yyyy) 5 4" xfId="1131" xr:uid="{00000000-0005-0000-0000-0000F7030000}"/>
    <cellStyle name="Date (mmm-yyyy) 6" xfId="1132" xr:uid="{00000000-0005-0000-0000-0000F8030000}"/>
    <cellStyle name="Date (mmm-yyyy) 6 2" xfId="1133" xr:uid="{00000000-0005-0000-0000-0000F9030000}"/>
    <cellStyle name="Date (mmm-yyyy) 7" xfId="1134" xr:uid="{00000000-0005-0000-0000-0000FA030000}"/>
    <cellStyle name="Date (mmm-yyyy) 8" xfId="1135" xr:uid="{00000000-0005-0000-0000-0000FB030000}"/>
    <cellStyle name="Date Short" xfId="1136" xr:uid="{00000000-0005-0000-0000-0000FC030000}"/>
    <cellStyle name="Date_1133 York 2005 BP Draft" xfId="1137" xr:uid="{00000000-0005-0000-0000-0000FD030000}"/>
    <cellStyle name="DATETIME" xfId="29" xr:uid="{00000000-0005-0000-0000-0000FE030000}"/>
    <cellStyle name="dd" xfId="1138" xr:uid="{00000000-0005-0000-0000-0000FF030000}"/>
    <cellStyle name="DELTA" xfId="1139" xr:uid="{00000000-0005-0000-0000-000000040000}"/>
    <cellStyle name="Dex Doub Line" xfId="1140" xr:uid="{00000000-0005-0000-0000-000001040000}"/>
    <cellStyle name="Dex Doub Line 2" xfId="1141" xr:uid="{00000000-0005-0000-0000-000002040000}"/>
    <cellStyle name="Dezimal_Comparison WTF Portfolio Valuation 2001 (CB RE)" xfId="1142" xr:uid="{00000000-0005-0000-0000-000003040000}"/>
    <cellStyle name="DIVISION" xfId="1143" xr:uid="{00000000-0005-0000-0000-000004040000}"/>
    <cellStyle name="Dollar" xfId="1144" xr:uid="{00000000-0005-0000-0000-000005040000}"/>
    <cellStyle name="Dollar (zero dec)" xfId="1145" xr:uid="{00000000-0005-0000-0000-000006040000}"/>
    <cellStyle name="Dollars" xfId="1146" xr:uid="{00000000-0005-0000-0000-000007040000}"/>
    <cellStyle name="Dollars []" xfId="1147" xr:uid="{00000000-0005-0000-0000-000008040000}"/>
    <cellStyle name="dotted" xfId="1148" xr:uid="{00000000-0005-0000-0000-000009040000}"/>
    <cellStyle name="dotted 2" xfId="1149" xr:uid="{00000000-0005-0000-0000-00000A040000}"/>
    <cellStyle name="Double Accounting" xfId="1150" xr:uid="{00000000-0005-0000-0000-00000B040000}"/>
    <cellStyle name="dr" xfId="1151" xr:uid="{00000000-0005-0000-0000-00000C040000}"/>
    <cellStyle name="ds" xfId="1152" xr:uid="{00000000-0005-0000-0000-00000D040000}"/>
    <cellStyle name="ds 2" xfId="1153" xr:uid="{00000000-0005-0000-0000-00000E040000}"/>
    <cellStyle name="Duration (Months)" xfId="117" xr:uid="{00000000-0005-0000-0000-00000F040000}"/>
    <cellStyle name="Duration (Months) 2" xfId="1154" xr:uid="{00000000-0005-0000-0000-000010040000}"/>
    <cellStyle name="Duration (Months) 2 2" xfId="1155" xr:uid="{00000000-0005-0000-0000-000011040000}"/>
    <cellStyle name="Duration (Months) 2 2 2" xfId="1156" xr:uid="{00000000-0005-0000-0000-000012040000}"/>
    <cellStyle name="Duration (Months) 2 2 2 2" xfId="1157" xr:uid="{00000000-0005-0000-0000-000013040000}"/>
    <cellStyle name="Duration (Months) 2 2 3" xfId="1158" xr:uid="{00000000-0005-0000-0000-000014040000}"/>
    <cellStyle name="Duration (Months) 2 2 4" xfId="1159" xr:uid="{00000000-0005-0000-0000-000015040000}"/>
    <cellStyle name="Duration (Months) 2 3" xfId="1160" xr:uid="{00000000-0005-0000-0000-000016040000}"/>
    <cellStyle name="Duration (Months) 2 3 2" xfId="1161" xr:uid="{00000000-0005-0000-0000-000017040000}"/>
    <cellStyle name="Duration (Months) 2 4" xfId="1162" xr:uid="{00000000-0005-0000-0000-000018040000}"/>
    <cellStyle name="Duration (Months) 2 5" xfId="1163" xr:uid="{00000000-0005-0000-0000-000019040000}"/>
    <cellStyle name="Duration (Months) 3" xfId="1164" xr:uid="{00000000-0005-0000-0000-00001A040000}"/>
    <cellStyle name="Duration (Months) 3 2" xfId="1165" xr:uid="{00000000-0005-0000-0000-00001B040000}"/>
    <cellStyle name="Duration (Months) 3 2 2" xfId="1166" xr:uid="{00000000-0005-0000-0000-00001C040000}"/>
    <cellStyle name="Duration (Months) 3 3" xfId="1167" xr:uid="{00000000-0005-0000-0000-00001D040000}"/>
    <cellStyle name="Duration (Months) 3 4" xfId="1168" xr:uid="{00000000-0005-0000-0000-00001E040000}"/>
    <cellStyle name="Duration (Months) 4" xfId="1169" xr:uid="{00000000-0005-0000-0000-00001F040000}"/>
    <cellStyle name="Duration (Months) 4 2" xfId="1170" xr:uid="{00000000-0005-0000-0000-000020040000}"/>
    <cellStyle name="Duration (Months) 4 2 2" xfId="1171" xr:uid="{00000000-0005-0000-0000-000021040000}"/>
    <cellStyle name="Duration (Months) 4 3" xfId="1172" xr:uid="{00000000-0005-0000-0000-000022040000}"/>
    <cellStyle name="Duration (Months) 4 4" xfId="1173" xr:uid="{00000000-0005-0000-0000-000023040000}"/>
    <cellStyle name="Duration (Months) 5" xfId="1174" xr:uid="{00000000-0005-0000-0000-000024040000}"/>
    <cellStyle name="Duration (Months) 5 2" xfId="1175" xr:uid="{00000000-0005-0000-0000-000025040000}"/>
    <cellStyle name="Duration (Months) 5 2 2" xfId="1176" xr:uid="{00000000-0005-0000-0000-000026040000}"/>
    <cellStyle name="Duration (Months) 5 3" xfId="1177" xr:uid="{00000000-0005-0000-0000-000027040000}"/>
    <cellStyle name="Duration (Months) 5 4" xfId="1178" xr:uid="{00000000-0005-0000-0000-000028040000}"/>
    <cellStyle name="Duration (Months) 6" xfId="1179" xr:uid="{00000000-0005-0000-0000-000029040000}"/>
    <cellStyle name="Duration (Months) 6 2" xfId="1180" xr:uid="{00000000-0005-0000-0000-00002A040000}"/>
    <cellStyle name="Duration (Months) 7" xfId="1181" xr:uid="{00000000-0005-0000-0000-00002B040000}"/>
    <cellStyle name="Duration (Months) 8" xfId="1182" xr:uid="{00000000-0005-0000-0000-00002C040000}"/>
    <cellStyle name="Duration (Years)" xfId="118" xr:uid="{00000000-0005-0000-0000-00002D040000}"/>
    <cellStyle name="Duration (Years) 2" xfId="1183" xr:uid="{00000000-0005-0000-0000-00002E040000}"/>
    <cellStyle name="Duration (Years) 2 2" xfId="1184" xr:uid="{00000000-0005-0000-0000-00002F040000}"/>
    <cellStyle name="Duration (Years) 2 2 2" xfId="1185" xr:uid="{00000000-0005-0000-0000-000030040000}"/>
    <cellStyle name="Duration (Years) 2 2 2 2" xfId="1186" xr:uid="{00000000-0005-0000-0000-000031040000}"/>
    <cellStyle name="Duration (Years) 2 2 3" xfId="1187" xr:uid="{00000000-0005-0000-0000-000032040000}"/>
    <cellStyle name="Duration (Years) 2 2 4" xfId="1188" xr:uid="{00000000-0005-0000-0000-000033040000}"/>
    <cellStyle name="Duration (Years) 2 3" xfId="1189" xr:uid="{00000000-0005-0000-0000-000034040000}"/>
    <cellStyle name="Duration (Years) 2 3 2" xfId="1190" xr:uid="{00000000-0005-0000-0000-000035040000}"/>
    <cellStyle name="Duration (Years) 2 4" xfId="1191" xr:uid="{00000000-0005-0000-0000-000036040000}"/>
    <cellStyle name="Duration (Years) 2 5" xfId="1192" xr:uid="{00000000-0005-0000-0000-000037040000}"/>
    <cellStyle name="Duration (Years) 3" xfId="1193" xr:uid="{00000000-0005-0000-0000-000038040000}"/>
    <cellStyle name="Duration (Years) 3 2" xfId="1194" xr:uid="{00000000-0005-0000-0000-000039040000}"/>
    <cellStyle name="Duration (Years) 3 2 2" xfId="1195" xr:uid="{00000000-0005-0000-0000-00003A040000}"/>
    <cellStyle name="Duration (Years) 3 3" xfId="1196" xr:uid="{00000000-0005-0000-0000-00003B040000}"/>
    <cellStyle name="Duration (Years) 3 4" xfId="1197" xr:uid="{00000000-0005-0000-0000-00003C040000}"/>
    <cellStyle name="Duration (Years) 4" xfId="1198" xr:uid="{00000000-0005-0000-0000-00003D040000}"/>
    <cellStyle name="Duration (Years) 4 2" xfId="1199" xr:uid="{00000000-0005-0000-0000-00003E040000}"/>
    <cellStyle name="Duration (Years) 4 2 2" xfId="1200" xr:uid="{00000000-0005-0000-0000-00003F040000}"/>
    <cellStyle name="Duration (Years) 4 3" xfId="1201" xr:uid="{00000000-0005-0000-0000-000040040000}"/>
    <cellStyle name="Duration (Years) 4 4" xfId="1202" xr:uid="{00000000-0005-0000-0000-000041040000}"/>
    <cellStyle name="Duration (Years) 5" xfId="1203" xr:uid="{00000000-0005-0000-0000-000042040000}"/>
    <cellStyle name="Duration (Years) 5 2" xfId="1204" xr:uid="{00000000-0005-0000-0000-000043040000}"/>
    <cellStyle name="Duration (Years) 5 2 2" xfId="1205" xr:uid="{00000000-0005-0000-0000-000044040000}"/>
    <cellStyle name="Duration (Years) 5 3" xfId="1206" xr:uid="{00000000-0005-0000-0000-000045040000}"/>
    <cellStyle name="Duration (Years) 5 4" xfId="1207" xr:uid="{00000000-0005-0000-0000-000046040000}"/>
    <cellStyle name="Duration (Years) 6" xfId="1208" xr:uid="{00000000-0005-0000-0000-000047040000}"/>
    <cellStyle name="Duration (Years) 6 2" xfId="1209" xr:uid="{00000000-0005-0000-0000-000048040000}"/>
    <cellStyle name="Duration (Years) 7" xfId="1210" xr:uid="{00000000-0005-0000-0000-000049040000}"/>
    <cellStyle name="Duration (Years) 8" xfId="1211" xr:uid="{00000000-0005-0000-0000-00004A040000}"/>
    <cellStyle name="Enter Currency (0)" xfId="1212" xr:uid="{00000000-0005-0000-0000-00004B040000}"/>
    <cellStyle name="Enter Currency (2)" xfId="1213" xr:uid="{00000000-0005-0000-0000-00004C040000}"/>
    <cellStyle name="Enter Units (0)" xfId="1214" xr:uid="{00000000-0005-0000-0000-00004D040000}"/>
    <cellStyle name="Enter Units (1)" xfId="1215" xr:uid="{00000000-0005-0000-0000-00004E040000}"/>
    <cellStyle name="Enter Units (2)" xfId="1216" xr:uid="{00000000-0005-0000-0000-00004F040000}"/>
    <cellStyle name="Euro" xfId="1217" xr:uid="{00000000-0005-0000-0000-000050040000}"/>
    <cellStyle name="EvenBodyShade" xfId="30" xr:uid="{00000000-0005-0000-0000-000051040000}"/>
    <cellStyle name="EvenBodyShade 2" xfId="31" xr:uid="{00000000-0005-0000-0000-000052040000}"/>
    <cellStyle name="EvenBodyShade 2 2" xfId="133" xr:uid="{00000000-0005-0000-0000-000053040000}"/>
    <cellStyle name="EvenBodyShade 2 3" xfId="1218" xr:uid="{00000000-0005-0000-0000-000054040000}"/>
    <cellStyle name="EvenBodyShade 2 4" xfId="1219" xr:uid="{00000000-0005-0000-0000-000055040000}"/>
    <cellStyle name="f" xfId="1220" xr:uid="{00000000-0005-0000-0000-000056040000}"/>
    <cellStyle name="F1" xfId="32" xr:uid="{00000000-0005-0000-0000-000057040000}"/>
    <cellStyle name="ff" xfId="1221" xr:uid="{00000000-0005-0000-0000-000058040000}"/>
    <cellStyle name="financial" xfId="1222" xr:uid="{00000000-0005-0000-0000-000059040000}"/>
    <cellStyle name="Fix 0" xfId="1223" xr:uid="{00000000-0005-0000-0000-00005A040000}"/>
    <cellStyle name="Fix 0.0" xfId="1224" xr:uid="{00000000-0005-0000-0000-00005B040000}"/>
    <cellStyle name="Fix 0.00" xfId="1225" xr:uid="{00000000-0005-0000-0000-00005C040000}"/>
    <cellStyle name="Fixed" xfId="1226" xr:uid="{00000000-0005-0000-0000-00005D040000}"/>
    <cellStyle name="fn" xfId="1227" xr:uid="{00000000-0005-0000-0000-00005E040000}"/>
    <cellStyle name="FOOTNOTE" xfId="1228" xr:uid="{00000000-0005-0000-0000-00005F040000}"/>
    <cellStyle name="GER" xfId="1229" xr:uid="{00000000-0005-0000-0000-000060040000}"/>
    <cellStyle name="GrandTotal" xfId="33" xr:uid="{00000000-0005-0000-0000-000061040000}"/>
    <cellStyle name="Grey" xfId="34" xr:uid="{00000000-0005-0000-0000-000062040000}"/>
    <cellStyle name="h" xfId="1230" xr:uid="{00000000-0005-0000-0000-000063040000}"/>
    <cellStyle name="h_DCF" xfId="1231" xr:uid="{00000000-0005-0000-0000-000064040000}"/>
    <cellStyle name="h_Macros" xfId="1232" xr:uid="{00000000-0005-0000-0000-000065040000}"/>
    <cellStyle name="h_Macros (3)" xfId="1233" xr:uid="{00000000-0005-0000-0000-000066040000}"/>
    <cellStyle name="h_Manager" xfId="1234" xr:uid="{00000000-0005-0000-0000-000067040000}"/>
    <cellStyle name="h_Manager (2)" xfId="1235" xr:uid="{00000000-0005-0000-0000-000068040000}"/>
    <cellStyle name="h1" xfId="1236" xr:uid="{00000000-0005-0000-0000-000069040000}"/>
    <cellStyle name="h2" xfId="1237" xr:uid="{00000000-0005-0000-0000-00006A040000}"/>
    <cellStyle name="h3" xfId="1238" xr:uid="{00000000-0005-0000-0000-00006B040000}"/>
    <cellStyle name="Head0" xfId="35" xr:uid="{00000000-0005-0000-0000-00006C040000}"/>
    <cellStyle name="Head1" xfId="36" xr:uid="{00000000-0005-0000-0000-00006D040000}"/>
    <cellStyle name="Head2" xfId="37" xr:uid="{00000000-0005-0000-0000-00006E040000}"/>
    <cellStyle name="Head3" xfId="38" xr:uid="{00000000-0005-0000-0000-00006F040000}"/>
    <cellStyle name="Head4" xfId="39" xr:uid="{00000000-0005-0000-0000-000070040000}"/>
    <cellStyle name="Head5" xfId="40" xr:uid="{00000000-0005-0000-0000-000071040000}"/>
    <cellStyle name="Head6" xfId="41" xr:uid="{00000000-0005-0000-0000-000072040000}"/>
    <cellStyle name="Head7" xfId="42" xr:uid="{00000000-0005-0000-0000-000073040000}"/>
    <cellStyle name="Head8" xfId="43" xr:uid="{00000000-0005-0000-0000-000074040000}"/>
    <cellStyle name="Head9" xfId="44" xr:uid="{00000000-0005-0000-0000-000075040000}"/>
    <cellStyle name="Header" xfId="1239" xr:uid="{00000000-0005-0000-0000-000076040000}"/>
    <cellStyle name="Header1" xfId="1240" xr:uid="{00000000-0005-0000-0000-000077040000}"/>
    <cellStyle name="Header2" xfId="1241" xr:uid="{00000000-0005-0000-0000-000078040000}"/>
    <cellStyle name="Header2 2" xfId="1242" xr:uid="{00000000-0005-0000-0000-000079040000}"/>
    <cellStyle name="Header2 3" xfId="1243" xr:uid="{00000000-0005-0000-0000-00007A040000}"/>
    <cellStyle name="Heading" xfId="1244" xr:uid="{00000000-0005-0000-0000-00007B040000}"/>
    <cellStyle name="Heading 4 2" xfId="114" xr:uid="{00000000-0005-0000-0000-00007C040000}"/>
    <cellStyle name="Heading 4 2 2" xfId="1245" xr:uid="{00000000-0005-0000-0000-00007D040000}"/>
    <cellStyle name="Heading 4 2 2 2" xfId="1246" xr:uid="{00000000-0005-0000-0000-00007E040000}"/>
    <cellStyle name="Heading 4 2 3" xfId="1247" xr:uid="{00000000-0005-0000-0000-00007F040000}"/>
    <cellStyle name="Heading 4 2 4" xfId="1248" xr:uid="{00000000-0005-0000-0000-000080040000}"/>
    <cellStyle name="Heading1" xfId="1249" xr:uid="{00000000-0005-0000-0000-000081040000}"/>
    <cellStyle name="Heading2" xfId="1250" xr:uid="{00000000-0005-0000-0000-000082040000}"/>
    <cellStyle name="Heading3" xfId="1251" xr:uid="{00000000-0005-0000-0000-000083040000}"/>
    <cellStyle name="HeadingS" xfId="1252" xr:uid="{00000000-0005-0000-0000-000084040000}"/>
    <cellStyle name="HeadShade" xfId="45" xr:uid="{00000000-0005-0000-0000-000085040000}"/>
    <cellStyle name="hh" xfId="1253" xr:uid="{00000000-0005-0000-0000-000086040000}"/>
    <cellStyle name="Hide" xfId="1254" xr:uid="{00000000-0005-0000-0000-000087040000}"/>
    <cellStyle name="HIGHLIGHT" xfId="1255" xr:uid="{00000000-0005-0000-0000-000088040000}"/>
    <cellStyle name="hj" xfId="1256" xr:uid="{00000000-0005-0000-0000-000089040000}"/>
    <cellStyle name="I" xfId="46" xr:uid="{00000000-0005-0000-0000-00008A040000}"/>
    <cellStyle name="i 10" xfId="1257" xr:uid="{00000000-0005-0000-0000-00008B040000}"/>
    <cellStyle name="I 11" xfId="1258" xr:uid="{00000000-0005-0000-0000-00008C040000}"/>
    <cellStyle name="I 12" xfId="1259" xr:uid="{00000000-0005-0000-0000-00008D040000}"/>
    <cellStyle name="I 13" xfId="1260" xr:uid="{00000000-0005-0000-0000-00008E040000}"/>
    <cellStyle name="I 14" xfId="1261" xr:uid="{00000000-0005-0000-0000-00008F040000}"/>
    <cellStyle name="I 15" xfId="1262" xr:uid="{00000000-0005-0000-0000-000090040000}"/>
    <cellStyle name="I 16" xfId="1263" xr:uid="{00000000-0005-0000-0000-000091040000}"/>
    <cellStyle name="I 17" xfId="1264" xr:uid="{00000000-0005-0000-0000-000092040000}"/>
    <cellStyle name="I 2" xfId="1265" xr:uid="{00000000-0005-0000-0000-000093040000}"/>
    <cellStyle name="i 3" xfId="1266" xr:uid="{00000000-0005-0000-0000-000094040000}"/>
    <cellStyle name="i 4" xfId="1267" xr:uid="{00000000-0005-0000-0000-000095040000}"/>
    <cellStyle name="i 5" xfId="1268" xr:uid="{00000000-0005-0000-0000-000096040000}"/>
    <cellStyle name="i 6" xfId="1269" xr:uid="{00000000-0005-0000-0000-000097040000}"/>
    <cellStyle name="i 7" xfId="1270" xr:uid="{00000000-0005-0000-0000-000098040000}"/>
    <cellStyle name="i 8" xfId="1271" xr:uid="{00000000-0005-0000-0000-000099040000}"/>
    <cellStyle name="i 9" xfId="1272" xr:uid="{00000000-0005-0000-0000-00009A040000}"/>
    <cellStyle name="in" xfId="1273" xr:uid="{00000000-0005-0000-0000-00009B040000}"/>
    <cellStyle name="In/Out" xfId="119" xr:uid="{00000000-0005-0000-0000-00009C040000}"/>
    <cellStyle name="In/Out 2" xfId="1274" xr:uid="{00000000-0005-0000-0000-00009D040000}"/>
    <cellStyle name="In/Out 2 2" xfId="1275" xr:uid="{00000000-0005-0000-0000-00009E040000}"/>
    <cellStyle name="In/Out 3" xfId="1276" xr:uid="{00000000-0005-0000-0000-00009F040000}"/>
    <cellStyle name="In/Out 4" xfId="1277" xr:uid="{00000000-0005-0000-0000-0000A0040000}"/>
    <cellStyle name="Input [yellow]" xfId="47" xr:uid="{00000000-0005-0000-0000-0000A1040000}"/>
    <cellStyle name="Input [yellow] 2" xfId="1278" xr:uid="{00000000-0005-0000-0000-0000A2040000}"/>
    <cellStyle name="InputBlueFont" xfId="1279" xr:uid="{00000000-0005-0000-0000-0000A3040000}"/>
    <cellStyle name="InputBlueFontLocked" xfId="1280" xr:uid="{00000000-0005-0000-0000-0000A4040000}"/>
    <cellStyle name="Line Items" xfId="120" xr:uid="{00000000-0005-0000-0000-0000A5040000}"/>
    <cellStyle name="Link Currency (0)" xfId="1281" xr:uid="{00000000-0005-0000-0000-0000A6040000}"/>
    <cellStyle name="Link Currency (2)" xfId="1282" xr:uid="{00000000-0005-0000-0000-0000A7040000}"/>
    <cellStyle name="Link Units (0)" xfId="1283" xr:uid="{00000000-0005-0000-0000-0000A8040000}"/>
    <cellStyle name="Link Units (1)" xfId="1284" xr:uid="{00000000-0005-0000-0000-0000A9040000}"/>
    <cellStyle name="Link Units (2)" xfId="1285" xr:uid="{00000000-0005-0000-0000-0000AA040000}"/>
    <cellStyle name="M" xfId="48" xr:uid="{00000000-0005-0000-0000-0000AB040000}"/>
    <cellStyle name="m 10" xfId="1286" xr:uid="{00000000-0005-0000-0000-0000AC040000}"/>
    <cellStyle name="M 11" xfId="1287" xr:uid="{00000000-0005-0000-0000-0000AD040000}"/>
    <cellStyle name="M 12" xfId="1288" xr:uid="{00000000-0005-0000-0000-0000AE040000}"/>
    <cellStyle name="M 13" xfId="1289" xr:uid="{00000000-0005-0000-0000-0000AF040000}"/>
    <cellStyle name="M 14" xfId="1290" xr:uid="{00000000-0005-0000-0000-0000B0040000}"/>
    <cellStyle name="M 15" xfId="1291" xr:uid="{00000000-0005-0000-0000-0000B1040000}"/>
    <cellStyle name="M 16" xfId="1292" xr:uid="{00000000-0005-0000-0000-0000B2040000}"/>
    <cellStyle name="M 17" xfId="1293" xr:uid="{00000000-0005-0000-0000-0000B3040000}"/>
    <cellStyle name="M 2" xfId="1294" xr:uid="{00000000-0005-0000-0000-0000B4040000}"/>
    <cellStyle name="m 3" xfId="1295" xr:uid="{00000000-0005-0000-0000-0000B5040000}"/>
    <cellStyle name="m 4" xfId="1296" xr:uid="{00000000-0005-0000-0000-0000B6040000}"/>
    <cellStyle name="m 5" xfId="1297" xr:uid="{00000000-0005-0000-0000-0000B7040000}"/>
    <cellStyle name="m 6" xfId="1298" xr:uid="{00000000-0005-0000-0000-0000B8040000}"/>
    <cellStyle name="m 7" xfId="1299" xr:uid="{00000000-0005-0000-0000-0000B9040000}"/>
    <cellStyle name="m 8" xfId="1300" xr:uid="{00000000-0005-0000-0000-0000BA040000}"/>
    <cellStyle name="m 9" xfId="1301" xr:uid="{00000000-0005-0000-0000-0000BB040000}"/>
    <cellStyle name="m_Fort3" xfId="1302" xr:uid="{00000000-0005-0000-0000-0000BC040000}"/>
    <cellStyle name="m_Macros" xfId="1303" xr:uid="{00000000-0005-0000-0000-0000BD040000}"/>
    <cellStyle name="m_Macros (2)" xfId="1304" xr:uid="{00000000-0005-0000-0000-0000BE040000}"/>
    <cellStyle name="m_Macros (2)_Daudet_1" xfId="1305" xr:uid="{00000000-0005-0000-0000-0000BF040000}"/>
    <cellStyle name="m_Macros (2)_Fort3" xfId="1306" xr:uid="{00000000-0005-0000-0000-0000C0040000}"/>
    <cellStyle name="m_Macros (2)_IBM18" xfId="1307" xr:uid="{00000000-0005-0000-0000-0000C1040000}"/>
    <cellStyle name="m_Macros (2)_IBM27" xfId="1308" xr:uid="{00000000-0005-0000-0000-0000C2040000}"/>
    <cellStyle name="m_Macros (2)_SPAD3" xfId="1309" xr:uid="{00000000-0005-0000-0000-0000C3040000}"/>
    <cellStyle name="m_Macros (2)_SPAD4" xfId="1310" xr:uid="{00000000-0005-0000-0000-0000C4040000}"/>
    <cellStyle name="m_Macros (3)" xfId="1311" xr:uid="{00000000-0005-0000-0000-0000C5040000}"/>
    <cellStyle name="m_Macros (3)_CFZEUS8" xfId="1312" xr:uid="{00000000-0005-0000-0000-0000C6040000}"/>
    <cellStyle name="m_Macros (3)_Daudet_1" xfId="1313" xr:uid="{00000000-0005-0000-0000-0000C7040000}"/>
    <cellStyle name="m_Macros (3)_Fort3" xfId="1314" xr:uid="{00000000-0005-0000-0000-0000C8040000}"/>
    <cellStyle name="m_Macros (3)_Fort3_1133 York Q4RF - VALUATION - $36mm SPv3" xfId="1315" xr:uid="{00000000-0005-0000-0000-0000C9040000}"/>
    <cellStyle name="m_Macros (3)_Fort3_220 E 63rd - Q4RF - VALUATIONv4" xfId="1316" xr:uid="{00000000-0005-0000-0000-0000CA040000}"/>
    <cellStyle name="m_Macros (3)_Fort3_Apartment Model 5.31.08v3" xfId="1317" xr:uid="{00000000-0005-0000-0000-0000CB040000}"/>
    <cellStyle name="m_Macros (3)_Fort3_Charles St Model - 2008.09.30 (with equity syndication) (version 1)" xfId="1318" xr:uid="{00000000-0005-0000-0000-0000CC040000}"/>
    <cellStyle name="m_Macros (3)_Fort3_Indirect Template (cleaned formatted)" xfId="1319" xr:uid="{00000000-0005-0000-0000-0000CD040000}"/>
    <cellStyle name="m_Macros (3)_Fort3_NEW Palatine Model Apartment 2008 with metrics pagev2" xfId="1320" xr:uid="{00000000-0005-0000-0000-0000CE040000}"/>
    <cellStyle name="m_Macros (3)_Fort3_Odyssey - Q4 Valuation new v2" xfId="1321" xr:uid="{00000000-0005-0000-0000-0000CF040000}"/>
    <cellStyle name="m_Macros (3)_Fort3_Odyssey 07 Oct 05" xfId="1322" xr:uid="{00000000-0005-0000-0000-0000D0040000}"/>
    <cellStyle name="m_Macros (3)_Fort3_Odyssey 1Q2007. v1" xfId="1323" xr:uid="{00000000-0005-0000-0000-0000D1040000}"/>
    <cellStyle name="m_Macros (3)_Fort3_Palatine - 2006 BP Summary 12.15.2005" xfId="1324" xr:uid="{00000000-0005-0000-0000-0000D2040000}"/>
    <cellStyle name="m_Macros (3)_Fort3_Palatine Model - 2006-01-03 - Business Plan" xfId="1325" xr:uid="{00000000-0005-0000-0000-0000D3040000}"/>
    <cellStyle name="m_Macros (3)_Fort3_Palatine Model - 2006-01-23 - Tables and New Fina BP Model New New Times Two " xfId="1326" xr:uid="{00000000-0005-0000-0000-0000D4040000}"/>
    <cellStyle name="m_Macros (3)_Fort3_Palatine Model - 2006-01-30 - tables" xfId="1327" xr:uid="{00000000-0005-0000-0000-0000D5040000}"/>
    <cellStyle name="m_Macros (3)_Fort3_Palatine Model - 3-12-07" xfId="1328" xr:uid="{00000000-0005-0000-0000-0000D6040000}"/>
    <cellStyle name="m_Macros (3)_Fort3_Ridge Asset Managment Model 9.30.08" xfId="1329" xr:uid="{00000000-0005-0000-0000-0000D7040000}"/>
    <cellStyle name="m_Macros (3)_Fort3_Sunset Villas Model 07.31.07 - VALUATION v2" xfId="1330" xr:uid="{00000000-0005-0000-0000-0000D8040000}"/>
    <cellStyle name="m_Macros (3)_Fort3_Valuation Template Non Operaating Deal 04.17.08" xfId="1331" xr:uid="{00000000-0005-0000-0000-0000D9040000}"/>
    <cellStyle name="m_Macros (3)_Fort3_Valuation Template Operating Deal 04.17.08" xfId="1332" xr:uid="{00000000-0005-0000-0000-0000DA040000}"/>
    <cellStyle name="m_Macros (3)_Ibm21" xfId="1333" xr:uid="{00000000-0005-0000-0000-0000DB040000}"/>
    <cellStyle name="m_Macros (3)_Ibm21_Daudet_1" xfId="1334" xr:uid="{00000000-0005-0000-0000-0000DC040000}"/>
    <cellStyle name="m_Macros (3)_perry13" xfId="1335" xr:uid="{00000000-0005-0000-0000-0000DD040000}"/>
    <cellStyle name="m_Macros (3)_SPAD3" xfId="1336" xr:uid="{00000000-0005-0000-0000-0000DE040000}"/>
    <cellStyle name="m_Macros (3)_SPAD4" xfId="1337" xr:uid="{00000000-0005-0000-0000-0000DF040000}"/>
    <cellStyle name="m_Macros (3)_ZeusCF1" xfId="1338" xr:uid="{00000000-0005-0000-0000-0000E0040000}"/>
    <cellStyle name="m_Macros_Daudet_1" xfId="1339" xr:uid="{00000000-0005-0000-0000-0000E1040000}"/>
    <cellStyle name="m_Macros_Fort3" xfId="1340" xr:uid="{00000000-0005-0000-0000-0000E2040000}"/>
    <cellStyle name="m_Macros_IBM18" xfId="1341" xr:uid="{00000000-0005-0000-0000-0000E3040000}"/>
    <cellStyle name="m_Macros_IBM27" xfId="1342" xr:uid="{00000000-0005-0000-0000-0000E4040000}"/>
    <cellStyle name="m_Macros_SPAD3" xfId="1343" xr:uid="{00000000-0005-0000-0000-0000E5040000}"/>
    <cellStyle name="m_Macros_SPAD4" xfId="1344" xr:uid="{00000000-0005-0000-0000-0000E6040000}"/>
    <cellStyle name="m_Manager" xfId="1345" xr:uid="{00000000-0005-0000-0000-0000E7040000}"/>
    <cellStyle name="m_Manager (2)" xfId="1346" xr:uid="{00000000-0005-0000-0000-0000E8040000}"/>
    <cellStyle name="m_Manager (2)_1" xfId="1347" xr:uid="{00000000-0005-0000-0000-0000E9040000}"/>
    <cellStyle name="m_Manager (2)_1_CFZEUS8" xfId="1348" xr:uid="{00000000-0005-0000-0000-0000EA040000}"/>
    <cellStyle name="m_Manager (2)_1_Daudet_1" xfId="1349" xr:uid="{00000000-0005-0000-0000-0000EB040000}"/>
    <cellStyle name="m_Manager (2)_1_Fort3" xfId="1350" xr:uid="{00000000-0005-0000-0000-0000EC040000}"/>
    <cellStyle name="m_Manager (2)_1_Fort3_1133 York Q4RF - VALUATION - $36mm SPv3" xfId="1351" xr:uid="{00000000-0005-0000-0000-0000ED040000}"/>
    <cellStyle name="m_Manager (2)_1_Fort3_220 E 63rd - Q4RF - VALUATIONv4" xfId="1352" xr:uid="{00000000-0005-0000-0000-0000EE040000}"/>
    <cellStyle name="m_Manager (2)_1_Fort3_Apartment Model 5.31.08v3" xfId="1353" xr:uid="{00000000-0005-0000-0000-0000EF040000}"/>
    <cellStyle name="m_Manager (2)_1_Fort3_Charles St Model - 2008.09.30 (with equity syndication) (version 1)" xfId="1354" xr:uid="{00000000-0005-0000-0000-0000F0040000}"/>
    <cellStyle name="m_Manager (2)_1_Fort3_Indirect Template (cleaned formatted)" xfId="1355" xr:uid="{00000000-0005-0000-0000-0000F1040000}"/>
    <cellStyle name="m_Manager (2)_1_Fort3_NEW Palatine Model Apartment 2008 with metrics pagev2" xfId="1356" xr:uid="{00000000-0005-0000-0000-0000F2040000}"/>
    <cellStyle name="m_Manager (2)_1_Fort3_Odyssey - Q4 Valuation new v2" xfId="1357" xr:uid="{00000000-0005-0000-0000-0000F3040000}"/>
    <cellStyle name="m_Manager (2)_1_Fort3_Odyssey 07 Oct 05" xfId="1358" xr:uid="{00000000-0005-0000-0000-0000F4040000}"/>
    <cellStyle name="m_Manager (2)_1_Fort3_Odyssey 1Q2007. v1" xfId="1359" xr:uid="{00000000-0005-0000-0000-0000F5040000}"/>
    <cellStyle name="m_Manager (2)_1_Fort3_Palatine - 2006 BP Summary 12.15.2005" xfId="1360" xr:uid="{00000000-0005-0000-0000-0000F6040000}"/>
    <cellStyle name="m_Manager (2)_1_Fort3_Palatine Model - 2006-01-03 - Business Plan" xfId="1361" xr:uid="{00000000-0005-0000-0000-0000F7040000}"/>
    <cellStyle name="m_Manager (2)_1_Fort3_Palatine Model - 2006-01-23 - Tables and New Fina BP Model New New Times Two " xfId="1362" xr:uid="{00000000-0005-0000-0000-0000F8040000}"/>
    <cellStyle name="m_Manager (2)_1_Fort3_Palatine Model - 2006-01-30 - tables" xfId="1363" xr:uid="{00000000-0005-0000-0000-0000F9040000}"/>
    <cellStyle name="m_Manager (2)_1_Fort3_Palatine Model - 3-12-07" xfId="1364" xr:uid="{00000000-0005-0000-0000-0000FA040000}"/>
    <cellStyle name="m_Manager (2)_1_Fort3_Ridge Asset Managment Model 9.30.08" xfId="1365" xr:uid="{00000000-0005-0000-0000-0000FB040000}"/>
    <cellStyle name="m_Manager (2)_1_Fort3_Sunset Villas Model 07.31.07 - VALUATION v2" xfId="1366" xr:uid="{00000000-0005-0000-0000-0000FC040000}"/>
    <cellStyle name="m_Manager (2)_1_Fort3_Valuation Template Non Operaating Deal 04.17.08" xfId="1367" xr:uid="{00000000-0005-0000-0000-0000FD040000}"/>
    <cellStyle name="m_Manager (2)_1_Fort3_Valuation Template Operating Deal 04.17.08" xfId="1368" xr:uid="{00000000-0005-0000-0000-0000FE040000}"/>
    <cellStyle name="m_Manager (2)_1_Ibm21" xfId="1369" xr:uid="{00000000-0005-0000-0000-0000FF040000}"/>
    <cellStyle name="m_Manager (2)_1_Ibm21_Daudet_1" xfId="1370" xr:uid="{00000000-0005-0000-0000-000000050000}"/>
    <cellStyle name="m_Manager (2)_1_perry13" xfId="1371" xr:uid="{00000000-0005-0000-0000-000001050000}"/>
    <cellStyle name="m_Manager (2)_1_SPAD3" xfId="1372" xr:uid="{00000000-0005-0000-0000-000002050000}"/>
    <cellStyle name="m_Manager (2)_1_SPAD4" xfId="1373" xr:uid="{00000000-0005-0000-0000-000003050000}"/>
    <cellStyle name="m_Manager (2)_1_ZeusCF1" xfId="1374" xr:uid="{00000000-0005-0000-0000-000004050000}"/>
    <cellStyle name="m_Manager (2)_Daudet_1" xfId="1375" xr:uid="{00000000-0005-0000-0000-000005050000}"/>
    <cellStyle name="m_Manager (2)_Fort3" xfId="1376" xr:uid="{00000000-0005-0000-0000-000006050000}"/>
    <cellStyle name="m_Manager (2)_IBM18" xfId="1377" xr:uid="{00000000-0005-0000-0000-000007050000}"/>
    <cellStyle name="m_Manager (2)_IBM27" xfId="1378" xr:uid="{00000000-0005-0000-0000-000008050000}"/>
    <cellStyle name="m_Manager (2)_SPAD3" xfId="1379" xr:uid="{00000000-0005-0000-0000-000009050000}"/>
    <cellStyle name="m_Manager (2)_SPAD4" xfId="1380" xr:uid="{00000000-0005-0000-0000-00000A050000}"/>
    <cellStyle name="m_Manager_Fort3" xfId="1381" xr:uid="{00000000-0005-0000-0000-00000B050000}"/>
    <cellStyle name="MainData" xfId="1382" xr:uid="{00000000-0005-0000-0000-00000C050000}"/>
    <cellStyle name="Major Heading" xfId="1383" xr:uid="{00000000-0005-0000-0000-00000D050000}"/>
    <cellStyle name="MajorTotal" xfId="1384" xr:uid="{00000000-0005-0000-0000-00000E050000}"/>
    <cellStyle name="MajorTotal 2" xfId="1385" xr:uid="{00000000-0005-0000-0000-00000F050000}"/>
    <cellStyle name="MAND_x000a_CHECK.COMMAND_x000e_RENAME.COMMAND_x0008_SHOW.BAR_x000b_DELETE.MENU_x000e_DELETE.COMMAND_x000e_GET.CHA" xfId="1386" xr:uid="{00000000-0005-0000-0000-000010050000}"/>
    <cellStyle name="Migliaia (0)_affitto_a_terzi" xfId="1387" xr:uid="{00000000-0005-0000-0000-000011050000}"/>
    <cellStyle name="Migliaia [0]_ELENCO KPMG def 2Marco" xfId="1388" xr:uid="{00000000-0005-0000-0000-000012050000}"/>
    <cellStyle name="Migliaia_affitto_a_terzi" xfId="1389" xr:uid="{00000000-0005-0000-0000-000013050000}"/>
    <cellStyle name="Milliers [0]_laroux" xfId="1390" xr:uid="{00000000-0005-0000-0000-000014050000}"/>
    <cellStyle name="Milliers_laroux" xfId="1391" xr:uid="{00000000-0005-0000-0000-000015050000}"/>
    <cellStyle name="Moeda" xfId="2" builtinId="4"/>
    <cellStyle name="Monétaire [0]_laroux" xfId="1392" xr:uid="{00000000-0005-0000-0000-000016050000}"/>
    <cellStyle name="Monétaire_laroux" xfId="1393" xr:uid="{00000000-0005-0000-0000-000017050000}"/>
    <cellStyle name="Month #" xfId="121" xr:uid="{00000000-0005-0000-0000-000018050000}"/>
    <cellStyle name="Month # 2" xfId="1394" xr:uid="{00000000-0005-0000-0000-000019050000}"/>
    <cellStyle name="Month # 2 2" xfId="1395" xr:uid="{00000000-0005-0000-0000-00001A050000}"/>
    <cellStyle name="Month # 2 2 2" xfId="1396" xr:uid="{00000000-0005-0000-0000-00001B050000}"/>
    <cellStyle name="Month # 2 2 2 2" xfId="1397" xr:uid="{00000000-0005-0000-0000-00001C050000}"/>
    <cellStyle name="Month # 2 2 3" xfId="1398" xr:uid="{00000000-0005-0000-0000-00001D050000}"/>
    <cellStyle name="Month # 2 2 4" xfId="1399" xr:uid="{00000000-0005-0000-0000-00001E050000}"/>
    <cellStyle name="Month # 2 3" xfId="1400" xr:uid="{00000000-0005-0000-0000-00001F050000}"/>
    <cellStyle name="Month # 2 3 2" xfId="1401" xr:uid="{00000000-0005-0000-0000-000020050000}"/>
    <cellStyle name="Month # 2 4" xfId="1402" xr:uid="{00000000-0005-0000-0000-000021050000}"/>
    <cellStyle name="Month # 2 5" xfId="1403" xr:uid="{00000000-0005-0000-0000-000022050000}"/>
    <cellStyle name="Month # 3" xfId="1404" xr:uid="{00000000-0005-0000-0000-000023050000}"/>
    <cellStyle name="Month # 3 2" xfId="1405" xr:uid="{00000000-0005-0000-0000-000024050000}"/>
    <cellStyle name="Month # 3 2 2" xfId="1406" xr:uid="{00000000-0005-0000-0000-000025050000}"/>
    <cellStyle name="Month # 3 3" xfId="1407" xr:uid="{00000000-0005-0000-0000-000026050000}"/>
    <cellStyle name="Month # 3 4" xfId="1408" xr:uid="{00000000-0005-0000-0000-000027050000}"/>
    <cellStyle name="Month # 4" xfId="1409" xr:uid="{00000000-0005-0000-0000-000028050000}"/>
    <cellStyle name="Month # 4 2" xfId="1410" xr:uid="{00000000-0005-0000-0000-000029050000}"/>
    <cellStyle name="Month # 4 2 2" xfId="1411" xr:uid="{00000000-0005-0000-0000-00002A050000}"/>
    <cellStyle name="Month # 4 3" xfId="1412" xr:uid="{00000000-0005-0000-0000-00002B050000}"/>
    <cellStyle name="Month # 4 4" xfId="1413" xr:uid="{00000000-0005-0000-0000-00002C050000}"/>
    <cellStyle name="Month # 5" xfId="1414" xr:uid="{00000000-0005-0000-0000-00002D050000}"/>
    <cellStyle name="Month # 5 2" xfId="1415" xr:uid="{00000000-0005-0000-0000-00002E050000}"/>
    <cellStyle name="Month # 5 2 2" xfId="1416" xr:uid="{00000000-0005-0000-0000-00002F050000}"/>
    <cellStyle name="Month # 5 3" xfId="1417" xr:uid="{00000000-0005-0000-0000-000030050000}"/>
    <cellStyle name="Month # 5 4" xfId="1418" xr:uid="{00000000-0005-0000-0000-000031050000}"/>
    <cellStyle name="Month # 6" xfId="1419" xr:uid="{00000000-0005-0000-0000-000032050000}"/>
    <cellStyle name="Month # 6 2" xfId="1420" xr:uid="{00000000-0005-0000-0000-000033050000}"/>
    <cellStyle name="Month # 7" xfId="1421" xr:uid="{00000000-0005-0000-0000-000034050000}"/>
    <cellStyle name="Month # 8" xfId="1422" xr:uid="{00000000-0005-0000-0000-000035050000}"/>
    <cellStyle name="MS_COL_STYLE" xfId="1423" xr:uid="{00000000-0005-0000-0000-000036050000}"/>
    <cellStyle name="mtit" xfId="1424" xr:uid="{00000000-0005-0000-0000-000037050000}"/>
    <cellStyle name="Multiple" xfId="1425" xr:uid="{00000000-0005-0000-0000-000038050000}"/>
    <cellStyle name="Multiple (0.0x)" xfId="122" xr:uid="{00000000-0005-0000-0000-000039050000}"/>
    <cellStyle name="Multiple (0.0x) 2" xfId="1426" xr:uid="{00000000-0005-0000-0000-00003A050000}"/>
    <cellStyle name="Multiple (0.0x) 2 2" xfId="1427" xr:uid="{00000000-0005-0000-0000-00003B050000}"/>
    <cellStyle name="Multiple (0.0x) 2 2 2" xfId="1428" xr:uid="{00000000-0005-0000-0000-00003C050000}"/>
    <cellStyle name="Multiple (0.0x) 2 2 2 2" xfId="1429" xr:uid="{00000000-0005-0000-0000-00003D050000}"/>
    <cellStyle name="Multiple (0.0x) 2 2 3" xfId="1430" xr:uid="{00000000-0005-0000-0000-00003E050000}"/>
    <cellStyle name="Multiple (0.0x) 2 2 4" xfId="1431" xr:uid="{00000000-0005-0000-0000-00003F050000}"/>
    <cellStyle name="Multiple (0.0x) 2 3" xfId="1432" xr:uid="{00000000-0005-0000-0000-000040050000}"/>
    <cellStyle name="Multiple (0.0x) 2 3 2" xfId="1433" xr:uid="{00000000-0005-0000-0000-000041050000}"/>
    <cellStyle name="Multiple (0.0x) 2 4" xfId="1434" xr:uid="{00000000-0005-0000-0000-000042050000}"/>
    <cellStyle name="Multiple (0.0x) 2 5" xfId="1435" xr:uid="{00000000-0005-0000-0000-000043050000}"/>
    <cellStyle name="Multiple (0.0x) 3" xfId="1436" xr:uid="{00000000-0005-0000-0000-000044050000}"/>
    <cellStyle name="Multiple (0.0x) 3 2" xfId="1437" xr:uid="{00000000-0005-0000-0000-000045050000}"/>
    <cellStyle name="Multiple (0.0x) 3 2 2" xfId="1438" xr:uid="{00000000-0005-0000-0000-000046050000}"/>
    <cellStyle name="Multiple (0.0x) 3 3" xfId="1439" xr:uid="{00000000-0005-0000-0000-000047050000}"/>
    <cellStyle name="Multiple (0.0x) 3 4" xfId="1440" xr:uid="{00000000-0005-0000-0000-000048050000}"/>
    <cellStyle name="Multiple (0.0x) 4" xfId="1441" xr:uid="{00000000-0005-0000-0000-000049050000}"/>
    <cellStyle name="Multiple (0.0x) 4 2" xfId="1442" xr:uid="{00000000-0005-0000-0000-00004A050000}"/>
    <cellStyle name="Multiple (0.0x) 4 2 2" xfId="1443" xr:uid="{00000000-0005-0000-0000-00004B050000}"/>
    <cellStyle name="Multiple (0.0x) 4 3" xfId="1444" xr:uid="{00000000-0005-0000-0000-00004C050000}"/>
    <cellStyle name="Multiple (0.0x) 4 4" xfId="1445" xr:uid="{00000000-0005-0000-0000-00004D050000}"/>
    <cellStyle name="Multiple (0.0x) 5" xfId="1446" xr:uid="{00000000-0005-0000-0000-00004E050000}"/>
    <cellStyle name="Multiple (0.0x) 5 2" xfId="1447" xr:uid="{00000000-0005-0000-0000-00004F050000}"/>
    <cellStyle name="Multiple (0.0x) 5 2 2" xfId="1448" xr:uid="{00000000-0005-0000-0000-000050050000}"/>
    <cellStyle name="Multiple (0.0x) 5 3" xfId="1449" xr:uid="{00000000-0005-0000-0000-000051050000}"/>
    <cellStyle name="Multiple (0.0x) 5 4" xfId="1450" xr:uid="{00000000-0005-0000-0000-000052050000}"/>
    <cellStyle name="Multiple (0.0x) 6" xfId="1451" xr:uid="{00000000-0005-0000-0000-000053050000}"/>
    <cellStyle name="Multiple (0.0x) 6 2" xfId="1452" xr:uid="{00000000-0005-0000-0000-000054050000}"/>
    <cellStyle name="Multiple (0.0x) 7" xfId="1453" xr:uid="{00000000-0005-0000-0000-000055050000}"/>
    <cellStyle name="Multiple (0.0x) 8" xfId="1454" xr:uid="{00000000-0005-0000-0000-000056050000}"/>
    <cellStyle name="Multiple []" xfId="1455" xr:uid="{00000000-0005-0000-0000-000057050000}"/>
    <cellStyle name="Multiple [0]" xfId="1456" xr:uid="{00000000-0005-0000-0000-000058050000}"/>
    <cellStyle name="Multiple [0] []" xfId="1457" xr:uid="{00000000-0005-0000-0000-000059050000}"/>
    <cellStyle name="Multiple [1]" xfId="1458" xr:uid="{00000000-0005-0000-0000-00005A050000}"/>
    <cellStyle name="Multiple [1] []" xfId="1459" xr:uid="{00000000-0005-0000-0000-00005B050000}"/>
    <cellStyle name="Multiple_220 E 63rd - Q4RF - VALUATIONv4" xfId="1460" xr:uid="{00000000-0005-0000-0000-00005C050000}"/>
    <cellStyle name="n" xfId="1461" xr:uid="{00000000-0005-0000-0000-00005D050000}"/>
    <cellStyle name="n_CFZEUS8" xfId="1462" xr:uid="{00000000-0005-0000-0000-00005E050000}"/>
    <cellStyle name="n_Daudet_1" xfId="1463" xr:uid="{00000000-0005-0000-0000-00005F050000}"/>
    <cellStyle name="n_Fort3" xfId="1464" xr:uid="{00000000-0005-0000-0000-000060050000}"/>
    <cellStyle name="n_Fort3_1133 York Q4RF - VALUATION - $36mm SPv3" xfId="1465" xr:uid="{00000000-0005-0000-0000-000061050000}"/>
    <cellStyle name="n_Fort3_220 E 63rd - Q4RF - VALUATIONv4" xfId="1466" xr:uid="{00000000-0005-0000-0000-000062050000}"/>
    <cellStyle name="n_Fort3_Apartment Model 5.31.08v3" xfId="1467" xr:uid="{00000000-0005-0000-0000-000063050000}"/>
    <cellStyle name="n_Fort3_Charles St Model - 2008.09.30 (with equity syndication) (version 1)" xfId="1468" xr:uid="{00000000-0005-0000-0000-000064050000}"/>
    <cellStyle name="n_Fort3_Indirect Template (cleaned formatted)" xfId="1469" xr:uid="{00000000-0005-0000-0000-000065050000}"/>
    <cellStyle name="n_Fort3_NEW Palatine Model Apartment 2008 with metrics pagev2" xfId="1470" xr:uid="{00000000-0005-0000-0000-000066050000}"/>
    <cellStyle name="n_Fort3_Odyssey - Q4 Valuation new v2" xfId="1471" xr:uid="{00000000-0005-0000-0000-000067050000}"/>
    <cellStyle name="n_Fort3_Odyssey 07 Oct 05" xfId="1472" xr:uid="{00000000-0005-0000-0000-000068050000}"/>
    <cellStyle name="n_Fort3_Odyssey 1Q2007. v1" xfId="1473" xr:uid="{00000000-0005-0000-0000-000069050000}"/>
    <cellStyle name="n_Fort3_Palatine - 2006 BP Summary 12.15.2005" xfId="1474" xr:uid="{00000000-0005-0000-0000-00006A050000}"/>
    <cellStyle name="n_Fort3_Palatine Model - 2006-01-03 - Business Plan" xfId="1475" xr:uid="{00000000-0005-0000-0000-00006B050000}"/>
    <cellStyle name="n_Fort3_Palatine Model - 2006-01-23 - Tables and New Fina BP Model New New Times Two " xfId="1476" xr:uid="{00000000-0005-0000-0000-00006C050000}"/>
    <cellStyle name="n_Fort3_Palatine Model - 2006-01-30 - tables" xfId="1477" xr:uid="{00000000-0005-0000-0000-00006D050000}"/>
    <cellStyle name="n_Fort3_Palatine Model - 3-12-07" xfId="1478" xr:uid="{00000000-0005-0000-0000-00006E050000}"/>
    <cellStyle name="n_Fort3_Ridge Asset Managment Model 9.30.08" xfId="1479" xr:uid="{00000000-0005-0000-0000-00006F050000}"/>
    <cellStyle name="n_Fort3_Sunset Villas Model 07.31.07 - VALUATION v2" xfId="1480" xr:uid="{00000000-0005-0000-0000-000070050000}"/>
    <cellStyle name="n_Fort3_Valuation Template Non Operaating Deal 04.17.08" xfId="1481" xr:uid="{00000000-0005-0000-0000-000071050000}"/>
    <cellStyle name="n_Fort3_Valuation Template Operating Deal 04.17.08" xfId="1482" xr:uid="{00000000-0005-0000-0000-000072050000}"/>
    <cellStyle name="n_Ibm21" xfId="1483" xr:uid="{00000000-0005-0000-0000-000073050000}"/>
    <cellStyle name="n_Ibm21_Daudet_1" xfId="1484" xr:uid="{00000000-0005-0000-0000-000074050000}"/>
    <cellStyle name="n_Macros (3)" xfId="1485" xr:uid="{00000000-0005-0000-0000-000075050000}"/>
    <cellStyle name="n_Macros (3)_BPPerry2" xfId="1486" xr:uid="{00000000-0005-0000-0000-000076050000}"/>
    <cellStyle name="n_Macros (3)_Fort3" xfId="1487" xr:uid="{00000000-0005-0000-0000-000077050000}"/>
    <cellStyle name="n_Macros (3)_IBM18" xfId="1488" xr:uid="{00000000-0005-0000-0000-000078050000}"/>
    <cellStyle name="n_Macros (3)_IBM18_Daudet_1" xfId="1489" xr:uid="{00000000-0005-0000-0000-000079050000}"/>
    <cellStyle name="n_Macros (3)_IBM27" xfId="1490" xr:uid="{00000000-0005-0000-0000-00007A050000}"/>
    <cellStyle name="n_Macros (3)_SPAD3" xfId="1491" xr:uid="{00000000-0005-0000-0000-00007B050000}"/>
    <cellStyle name="n_Macros (3)_SPAD4" xfId="1492" xr:uid="{00000000-0005-0000-0000-00007C050000}"/>
    <cellStyle name="n_Manager" xfId="1493" xr:uid="{00000000-0005-0000-0000-00007D050000}"/>
    <cellStyle name="n_Manager (2)" xfId="1494" xr:uid="{00000000-0005-0000-0000-00007E050000}"/>
    <cellStyle name="n_Manager (2)_BPPerry2" xfId="1495" xr:uid="{00000000-0005-0000-0000-00007F050000}"/>
    <cellStyle name="n_Manager (2)_Fort3" xfId="1496" xr:uid="{00000000-0005-0000-0000-000080050000}"/>
    <cellStyle name="n_Manager (2)_IBM18" xfId="1497" xr:uid="{00000000-0005-0000-0000-000081050000}"/>
    <cellStyle name="n_Manager (2)_IBM18_Daudet_1" xfId="1498" xr:uid="{00000000-0005-0000-0000-000082050000}"/>
    <cellStyle name="n_Manager (2)_IBM27" xfId="1499" xr:uid="{00000000-0005-0000-0000-000083050000}"/>
    <cellStyle name="n_Manager (2)_SPAD3" xfId="1500" xr:uid="{00000000-0005-0000-0000-000084050000}"/>
    <cellStyle name="n_Manager (2)_SPAD4" xfId="1501" xr:uid="{00000000-0005-0000-0000-000085050000}"/>
    <cellStyle name="n_Manager_Daudet_1" xfId="1502" xr:uid="{00000000-0005-0000-0000-000086050000}"/>
    <cellStyle name="n_Manager_Fort3" xfId="1503" xr:uid="{00000000-0005-0000-0000-000087050000}"/>
    <cellStyle name="n_Manager_Fort3_1133 York Q4RF - VALUATION - $36mm SPv3" xfId="1504" xr:uid="{00000000-0005-0000-0000-000088050000}"/>
    <cellStyle name="n_Manager_Fort3_220 E 63rd - Q4RF - VALUATIONv4" xfId="1505" xr:uid="{00000000-0005-0000-0000-000089050000}"/>
    <cellStyle name="n_Manager_Fort3_Apartment Model 5.31.08v3" xfId="1506" xr:uid="{00000000-0005-0000-0000-00008A050000}"/>
    <cellStyle name="n_Manager_Fort3_Charles St Model - 2008.09.30 (with equity syndication) (version 1)" xfId="1507" xr:uid="{00000000-0005-0000-0000-00008B050000}"/>
    <cellStyle name="n_Manager_Fort3_Indirect Template (cleaned formatted)" xfId="1508" xr:uid="{00000000-0005-0000-0000-00008C050000}"/>
    <cellStyle name="n_Manager_Fort3_NEW Palatine Model Apartment 2008 with metrics pagev2" xfId="1509" xr:uid="{00000000-0005-0000-0000-00008D050000}"/>
    <cellStyle name="n_Manager_Fort3_Odyssey - Q4 Valuation new v2" xfId="1510" xr:uid="{00000000-0005-0000-0000-00008E050000}"/>
    <cellStyle name="n_Manager_Fort3_Odyssey 07 Oct 05" xfId="1511" xr:uid="{00000000-0005-0000-0000-00008F050000}"/>
    <cellStyle name="n_Manager_Fort3_Odyssey 1Q2007. v1" xfId="1512" xr:uid="{00000000-0005-0000-0000-000090050000}"/>
    <cellStyle name="n_Manager_Fort3_Palatine - 2006 BP Summary 12.15.2005" xfId="1513" xr:uid="{00000000-0005-0000-0000-000091050000}"/>
    <cellStyle name="n_Manager_Fort3_Palatine Model - 2006-01-03 - Business Plan" xfId="1514" xr:uid="{00000000-0005-0000-0000-000092050000}"/>
    <cellStyle name="n_Manager_Fort3_Palatine Model - 2006-01-23 - Tables and New Fina BP Model New New Times Two " xfId="1515" xr:uid="{00000000-0005-0000-0000-000093050000}"/>
    <cellStyle name="n_Manager_Fort3_Palatine Model - 2006-01-30 - tables" xfId="1516" xr:uid="{00000000-0005-0000-0000-000094050000}"/>
    <cellStyle name="n_Manager_Fort3_Palatine Model - 3-12-07" xfId="1517" xr:uid="{00000000-0005-0000-0000-000095050000}"/>
    <cellStyle name="n_Manager_Fort3_Ridge Asset Managment Model 9.30.08" xfId="1518" xr:uid="{00000000-0005-0000-0000-000096050000}"/>
    <cellStyle name="n_Manager_Fort3_Sunset Villas Model 07.31.07 - VALUATION v2" xfId="1519" xr:uid="{00000000-0005-0000-0000-000097050000}"/>
    <cellStyle name="n_Manager_Fort3_Valuation Template Non Operaating Deal 04.17.08" xfId="1520" xr:uid="{00000000-0005-0000-0000-000098050000}"/>
    <cellStyle name="n_Manager_Fort3_Valuation Template Operating Deal 04.17.08" xfId="1521" xr:uid="{00000000-0005-0000-0000-000099050000}"/>
    <cellStyle name="n_Manager_Ibm21" xfId="1522" xr:uid="{00000000-0005-0000-0000-00009A050000}"/>
    <cellStyle name="n_Manager_Ibm21_Daudet_1" xfId="1523" xr:uid="{00000000-0005-0000-0000-00009B050000}"/>
    <cellStyle name="n_Manager_SPAD3" xfId="1524" xr:uid="{00000000-0005-0000-0000-00009C050000}"/>
    <cellStyle name="n_Manager_SPAD4" xfId="1525" xr:uid="{00000000-0005-0000-0000-00009D050000}"/>
    <cellStyle name="n_Manager_ZeusCF1" xfId="1526" xr:uid="{00000000-0005-0000-0000-00009E050000}"/>
    <cellStyle name="n_perry13" xfId="1527" xr:uid="{00000000-0005-0000-0000-00009F050000}"/>
    <cellStyle name="n_SPAD3" xfId="1528" xr:uid="{00000000-0005-0000-0000-0000A0050000}"/>
    <cellStyle name="n_SPAD4" xfId="1529" xr:uid="{00000000-0005-0000-0000-0000A1050000}"/>
    <cellStyle name="n_ZeusCF1" xfId="1530" xr:uid="{00000000-0005-0000-0000-0000A2050000}"/>
    <cellStyle name="NACC" xfId="1531" xr:uid="{00000000-0005-0000-0000-0000A3050000}"/>
    <cellStyle name="no" xfId="1532" xr:uid="{00000000-0005-0000-0000-0000A4050000}"/>
    <cellStyle name="no dec" xfId="1533" xr:uid="{00000000-0005-0000-0000-0000A5050000}"/>
    <cellStyle name="norma" xfId="1534" xr:uid="{00000000-0005-0000-0000-0000A6050000}"/>
    <cellStyle name="norma 2" xfId="1535" xr:uid="{00000000-0005-0000-0000-0000A7050000}"/>
    <cellStyle name="norma 3" xfId="1536" xr:uid="{00000000-0005-0000-0000-0000A8050000}"/>
    <cellStyle name="Normal" xfId="0" builtinId="0"/>
    <cellStyle name="Normal - Style1" xfId="49" xr:uid="{00000000-0005-0000-0000-0000AA050000}"/>
    <cellStyle name="Normal - Style1 2" xfId="1537" xr:uid="{00000000-0005-0000-0000-0000AB050000}"/>
    <cellStyle name="Normal - Style1 2 2" xfId="1538" xr:uid="{00000000-0005-0000-0000-0000AC050000}"/>
    <cellStyle name="Normal - Style1 3" xfId="1539" xr:uid="{00000000-0005-0000-0000-0000AD050000}"/>
    <cellStyle name="Normal 10" xfId="1540" xr:uid="{00000000-0005-0000-0000-0000AE050000}"/>
    <cellStyle name="Normal 10 2" xfId="1541" xr:uid="{00000000-0005-0000-0000-0000AF050000}"/>
    <cellStyle name="Normal 10 3" xfId="1542" xr:uid="{00000000-0005-0000-0000-0000B0050000}"/>
    <cellStyle name="Normal 10 4" xfId="1543" xr:uid="{00000000-0005-0000-0000-0000B1050000}"/>
    <cellStyle name="Normal 11" xfId="1544" xr:uid="{00000000-0005-0000-0000-0000B2050000}"/>
    <cellStyle name="Normal 11 2" xfId="1545" xr:uid="{00000000-0005-0000-0000-0000B3050000}"/>
    <cellStyle name="Normal 11 3" xfId="1546" xr:uid="{00000000-0005-0000-0000-0000B4050000}"/>
    <cellStyle name="Normal 11 4" xfId="1547" xr:uid="{00000000-0005-0000-0000-0000B5050000}"/>
    <cellStyle name="Normal 12" xfId="1548" xr:uid="{00000000-0005-0000-0000-0000B6050000}"/>
    <cellStyle name="Normal 12 2" xfId="1549" xr:uid="{00000000-0005-0000-0000-0000B7050000}"/>
    <cellStyle name="Normal 12 3" xfId="1550" xr:uid="{00000000-0005-0000-0000-0000B8050000}"/>
    <cellStyle name="Normal 13" xfId="1551" xr:uid="{00000000-0005-0000-0000-0000B9050000}"/>
    <cellStyle name="Normal 13 2" xfId="1552" xr:uid="{00000000-0005-0000-0000-0000BA050000}"/>
    <cellStyle name="Normal 13 3" xfId="1553" xr:uid="{00000000-0005-0000-0000-0000BB050000}"/>
    <cellStyle name="Normal 14" xfId="1554" xr:uid="{00000000-0005-0000-0000-0000BC050000}"/>
    <cellStyle name="Normal 15" xfId="1555" xr:uid="{00000000-0005-0000-0000-0000BD050000}"/>
    <cellStyle name="Normal 16" xfId="1556" xr:uid="{00000000-0005-0000-0000-0000BE050000}"/>
    <cellStyle name="Normal 17" xfId="1557" xr:uid="{00000000-0005-0000-0000-0000BF050000}"/>
    <cellStyle name="Normal 18" xfId="1558" xr:uid="{00000000-0005-0000-0000-0000C0050000}"/>
    <cellStyle name="Normal 19" xfId="1559" xr:uid="{00000000-0005-0000-0000-0000C1050000}"/>
    <cellStyle name="Normal 2" xfId="95" xr:uid="{00000000-0005-0000-0000-0000C2050000}"/>
    <cellStyle name="Normal 2 10" xfId="3195" xr:uid="{00000000-0005-0000-0000-0000C3050000}"/>
    <cellStyle name="Normal 2 2" xfId="50" xr:uid="{00000000-0005-0000-0000-0000C4050000}"/>
    <cellStyle name="Normal 2 2 2" xfId="51" xr:uid="{00000000-0005-0000-0000-0000C5050000}"/>
    <cellStyle name="Normal 2 2 2 2" xfId="52" xr:uid="{00000000-0005-0000-0000-0000C6050000}"/>
    <cellStyle name="Normal 2 2 2 2 10" xfId="1560" xr:uid="{00000000-0005-0000-0000-0000C7050000}"/>
    <cellStyle name="Normal 2 2 2 2 2" xfId="103" xr:uid="{00000000-0005-0000-0000-0000C8050000}"/>
    <cellStyle name="Normal 2 2 2 2 2 2" xfId="144" xr:uid="{00000000-0005-0000-0000-0000C9050000}"/>
    <cellStyle name="Normal 2 2 2 2 2 2 2" xfId="155" xr:uid="{00000000-0005-0000-0000-0000CA050000}"/>
    <cellStyle name="Normal 2 2 2 2 2 3" xfId="1561" xr:uid="{00000000-0005-0000-0000-0000CB050000}"/>
    <cellStyle name="Normal 2 2 2 2 2 3 2" xfId="1562" xr:uid="{00000000-0005-0000-0000-0000CC050000}"/>
    <cellStyle name="Normal 2 2 2 2 2 4" xfId="1563" xr:uid="{00000000-0005-0000-0000-0000CD050000}"/>
    <cellStyle name="Normal 2 2 2 2 2 4 2" xfId="1564" xr:uid="{00000000-0005-0000-0000-0000CE050000}"/>
    <cellStyle name="Normal 2 2 2 2 2 5" xfId="1565" xr:uid="{00000000-0005-0000-0000-0000CF050000}"/>
    <cellStyle name="Normal 2 2 2 2 2 6" xfId="1566" xr:uid="{00000000-0005-0000-0000-0000D0050000}"/>
    <cellStyle name="Normal 2 2 2 2 2 7" xfId="1567" xr:uid="{00000000-0005-0000-0000-0000D1050000}"/>
    <cellStyle name="Normal 2 2 2 2 3" xfId="110" xr:uid="{00000000-0005-0000-0000-0000D2050000}"/>
    <cellStyle name="Normal 2 2 2 2 3 2" xfId="151" xr:uid="{00000000-0005-0000-0000-0000D3050000}"/>
    <cellStyle name="Normal 2 2 2 2 3 2 2" xfId="1568" xr:uid="{00000000-0005-0000-0000-0000D4050000}"/>
    <cellStyle name="Normal 2 2 2 2 3 3" xfId="1569" xr:uid="{00000000-0005-0000-0000-0000D5050000}"/>
    <cellStyle name="Normal 2 2 2 2 3 3 2" xfId="1570" xr:uid="{00000000-0005-0000-0000-0000D6050000}"/>
    <cellStyle name="Normal 2 2 2 2 3 4" xfId="1571" xr:uid="{00000000-0005-0000-0000-0000D7050000}"/>
    <cellStyle name="Normal 2 2 2 2 3 4 2" xfId="1572" xr:uid="{00000000-0005-0000-0000-0000D8050000}"/>
    <cellStyle name="Normal 2 2 2 2 3 5" xfId="1573" xr:uid="{00000000-0005-0000-0000-0000D9050000}"/>
    <cellStyle name="Normal 2 2 2 2 3 6" xfId="1574" xr:uid="{00000000-0005-0000-0000-0000DA050000}"/>
    <cellStyle name="Normal 2 2 2 2 3 7" xfId="1575" xr:uid="{00000000-0005-0000-0000-0000DB050000}"/>
    <cellStyle name="Normal 2 2 2 2 4" xfId="134" xr:uid="{00000000-0005-0000-0000-0000DC050000}"/>
    <cellStyle name="Normal 2 2 2 2 4 2" xfId="1576" xr:uid="{00000000-0005-0000-0000-0000DD050000}"/>
    <cellStyle name="Normal 2 2 2 2 5" xfId="1577" xr:uid="{00000000-0005-0000-0000-0000DE050000}"/>
    <cellStyle name="Normal 2 2 2 2 5 2" xfId="1578" xr:uid="{00000000-0005-0000-0000-0000DF050000}"/>
    <cellStyle name="Normal 2 2 2 2 6" xfId="1579" xr:uid="{00000000-0005-0000-0000-0000E0050000}"/>
    <cellStyle name="Normal 2 2 2 2 6 2" xfId="1580" xr:uid="{00000000-0005-0000-0000-0000E1050000}"/>
    <cellStyle name="Normal 2 2 2 2 7" xfId="1581" xr:uid="{00000000-0005-0000-0000-0000E2050000}"/>
    <cellStyle name="Normal 2 2 2 2 8" xfId="1582" xr:uid="{00000000-0005-0000-0000-0000E3050000}"/>
    <cellStyle name="Normal 2 2 2 2 9" xfId="1583" xr:uid="{00000000-0005-0000-0000-0000E4050000}"/>
    <cellStyle name="Normal 2 2 3" xfId="3196" xr:uid="{00000000-0005-0000-0000-0000E5050000}"/>
    <cellStyle name="Normal 2 3" xfId="140" xr:uid="{00000000-0005-0000-0000-0000E6050000}"/>
    <cellStyle name="Normal 2 3 2" xfId="1584" xr:uid="{00000000-0005-0000-0000-0000E7050000}"/>
    <cellStyle name="Normal 2 3 3" xfId="1585" xr:uid="{00000000-0005-0000-0000-0000E8050000}"/>
    <cellStyle name="Normal 2 4" xfId="1586" xr:uid="{00000000-0005-0000-0000-0000E9050000}"/>
    <cellStyle name="Normal 2 4 2" xfId="1587" xr:uid="{00000000-0005-0000-0000-0000EA050000}"/>
    <cellStyle name="Normal 2 5" xfId="1588" xr:uid="{00000000-0005-0000-0000-0000EB050000}"/>
    <cellStyle name="Normal 2 5 2" xfId="1589" xr:uid="{00000000-0005-0000-0000-0000EC050000}"/>
    <cellStyle name="Normal 2 6" xfId="1590" xr:uid="{00000000-0005-0000-0000-0000ED050000}"/>
    <cellStyle name="Normal 2 7" xfId="1591" xr:uid="{00000000-0005-0000-0000-0000EE050000}"/>
    <cellStyle name="Normal 2 8" xfId="1592" xr:uid="{00000000-0005-0000-0000-0000EF050000}"/>
    <cellStyle name="Normal 2 9" xfId="1593" xr:uid="{00000000-0005-0000-0000-0000F0050000}"/>
    <cellStyle name="Normal 20" xfId="1594" xr:uid="{00000000-0005-0000-0000-0000F1050000}"/>
    <cellStyle name="Normal 21" xfId="1595" xr:uid="{00000000-0005-0000-0000-0000F2050000}"/>
    <cellStyle name="Normal 22" xfId="1596" xr:uid="{00000000-0005-0000-0000-0000F3050000}"/>
    <cellStyle name="Normal 23" xfId="1597" xr:uid="{00000000-0005-0000-0000-0000F4050000}"/>
    <cellStyle name="Normal 24" xfId="1598" xr:uid="{00000000-0005-0000-0000-0000F5050000}"/>
    <cellStyle name="Normal 25" xfId="1599" xr:uid="{00000000-0005-0000-0000-0000F6050000}"/>
    <cellStyle name="Normal 26" xfId="1600" xr:uid="{00000000-0005-0000-0000-0000F7050000}"/>
    <cellStyle name="Normal 27" xfId="1601" xr:uid="{00000000-0005-0000-0000-0000F8050000}"/>
    <cellStyle name="Normal 28" xfId="1602" xr:uid="{00000000-0005-0000-0000-0000F9050000}"/>
    <cellStyle name="Normal 29" xfId="1603" xr:uid="{00000000-0005-0000-0000-0000FA050000}"/>
    <cellStyle name="Normal 3" xfId="106" xr:uid="{00000000-0005-0000-0000-0000FB050000}"/>
    <cellStyle name="Normal 3 10" xfId="1604" xr:uid="{00000000-0005-0000-0000-0000FC050000}"/>
    <cellStyle name="Normal 3 2" xfId="98" xr:uid="{00000000-0005-0000-0000-0000FD050000}"/>
    <cellStyle name="Normal 3 3" xfId="147" xr:uid="{00000000-0005-0000-0000-0000FE050000}"/>
    <cellStyle name="Normal 3 3 2" xfId="1605" xr:uid="{00000000-0005-0000-0000-0000FF050000}"/>
    <cellStyle name="Normal 3 3 3" xfId="1606" xr:uid="{00000000-0005-0000-0000-000000060000}"/>
    <cellStyle name="Normal 3 4" xfId="1607" xr:uid="{00000000-0005-0000-0000-000001060000}"/>
    <cellStyle name="Normal 3 4 2" xfId="1608" xr:uid="{00000000-0005-0000-0000-000002060000}"/>
    <cellStyle name="Normal 3 5" xfId="1609" xr:uid="{00000000-0005-0000-0000-000003060000}"/>
    <cellStyle name="Normal 3 5 2" xfId="1610" xr:uid="{00000000-0005-0000-0000-000004060000}"/>
    <cellStyle name="Normal 3 6" xfId="1611" xr:uid="{00000000-0005-0000-0000-000005060000}"/>
    <cellStyle name="Normal 3 7" xfId="1612" xr:uid="{00000000-0005-0000-0000-000006060000}"/>
    <cellStyle name="Normal 3 8" xfId="1613" xr:uid="{00000000-0005-0000-0000-000007060000}"/>
    <cellStyle name="Normal 3 9" xfId="1614" xr:uid="{00000000-0005-0000-0000-000008060000}"/>
    <cellStyle name="Normal 30" xfId="1615" xr:uid="{00000000-0005-0000-0000-000009060000}"/>
    <cellStyle name="Normal 31" xfId="1616" xr:uid="{00000000-0005-0000-0000-00000A060000}"/>
    <cellStyle name="Normal 32" xfId="1617" xr:uid="{00000000-0005-0000-0000-00000B060000}"/>
    <cellStyle name="Normal 33" xfId="1618" xr:uid="{00000000-0005-0000-0000-00000C060000}"/>
    <cellStyle name="Normal 34" xfId="1619" xr:uid="{00000000-0005-0000-0000-00000D060000}"/>
    <cellStyle name="Normal 35" xfId="1620" xr:uid="{00000000-0005-0000-0000-00000E060000}"/>
    <cellStyle name="Normal 36" xfId="1621" xr:uid="{00000000-0005-0000-0000-00000F060000}"/>
    <cellStyle name="Normal 37" xfId="1622" xr:uid="{00000000-0005-0000-0000-000010060000}"/>
    <cellStyle name="Normal 38" xfId="1623" xr:uid="{00000000-0005-0000-0000-000011060000}"/>
    <cellStyle name="Normal 39" xfId="1624" xr:uid="{00000000-0005-0000-0000-000012060000}"/>
    <cellStyle name="Normal 4" xfId="107" xr:uid="{00000000-0005-0000-0000-000013060000}"/>
    <cellStyle name="Normal 4 10" xfId="1625" xr:uid="{00000000-0005-0000-0000-000014060000}"/>
    <cellStyle name="Normal 4 2" xfId="53" xr:uid="{00000000-0005-0000-0000-000015060000}"/>
    <cellStyle name="Normal 4 3" xfId="148" xr:uid="{00000000-0005-0000-0000-000016060000}"/>
    <cellStyle name="Normal 4 3 2" xfId="1626" xr:uid="{00000000-0005-0000-0000-000017060000}"/>
    <cellStyle name="Normal 4 4" xfId="1627" xr:uid="{00000000-0005-0000-0000-000018060000}"/>
    <cellStyle name="Normal 4 4 2" xfId="1628" xr:uid="{00000000-0005-0000-0000-000019060000}"/>
    <cellStyle name="Normal 4 5" xfId="1629" xr:uid="{00000000-0005-0000-0000-00001A060000}"/>
    <cellStyle name="Normal 4 5 2" xfId="1630" xr:uid="{00000000-0005-0000-0000-00001B060000}"/>
    <cellStyle name="Normal 4 6" xfId="1631" xr:uid="{00000000-0005-0000-0000-00001C060000}"/>
    <cellStyle name="Normal 4 7" xfId="1632" xr:uid="{00000000-0005-0000-0000-00001D060000}"/>
    <cellStyle name="Normal 4 8" xfId="1633" xr:uid="{00000000-0005-0000-0000-00001E060000}"/>
    <cellStyle name="Normal 4 9" xfId="1634" xr:uid="{00000000-0005-0000-0000-00001F060000}"/>
    <cellStyle name="Normal 40" xfId="1635" xr:uid="{00000000-0005-0000-0000-000020060000}"/>
    <cellStyle name="Normal 41" xfId="1636" xr:uid="{00000000-0005-0000-0000-000021060000}"/>
    <cellStyle name="Normal 42" xfId="1637" xr:uid="{00000000-0005-0000-0000-000022060000}"/>
    <cellStyle name="Normal 43" xfId="1638" xr:uid="{00000000-0005-0000-0000-000023060000}"/>
    <cellStyle name="Normal 44" xfId="1639" xr:uid="{00000000-0005-0000-0000-000024060000}"/>
    <cellStyle name="Normal 45" xfId="1640" xr:uid="{00000000-0005-0000-0000-000025060000}"/>
    <cellStyle name="Normal 46" xfId="1641" xr:uid="{00000000-0005-0000-0000-000026060000}"/>
    <cellStyle name="Normal 47" xfId="1642" xr:uid="{00000000-0005-0000-0000-000027060000}"/>
    <cellStyle name="Normal 48" xfId="1643" xr:uid="{00000000-0005-0000-0000-000028060000}"/>
    <cellStyle name="Normal 49" xfId="1644" xr:uid="{00000000-0005-0000-0000-000029060000}"/>
    <cellStyle name="Normal 5" xfId="108" xr:uid="{00000000-0005-0000-0000-00002A060000}"/>
    <cellStyle name="Normal 5 2" xfId="149" xr:uid="{00000000-0005-0000-0000-00002B060000}"/>
    <cellStyle name="Normal 5 2 2" xfId="1645" xr:uid="{00000000-0005-0000-0000-00002C060000}"/>
    <cellStyle name="Normal 5 3" xfId="1646" xr:uid="{00000000-0005-0000-0000-00002D060000}"/>
    <cellStyle name="Normal 5 3 2" xfId="1647" xr:uid="{00000000-0005-0000-0000-00002E060000}"/>
    <cellStyle name="Normal 5 4" xfId="1648" xr:uid="{00000000-0005-0000-0000-00002F060000}"/>
    <cellStyle name="Normal 5 4 2" xfId="1649" xr:uid="{00000000-0005-0000-0000-000030060000}"/>
    <cellStyle name="Normal 5 5" xfId="1650" xr:uid="{00000000-0005-0000-0000-000031060000}"/>
    <cellStyle name="Normal 5 6" xfId="1651" xr:uid="{00000000-0005-0000-0000-000032060000}"/>
    <cellStyle name="Normal 5 7" xfId="1652" xr:uid="{00000000-0005-0000-0000-000033060000}"/>
    <cellStyle name="Normal 5 8" xfId="1653" xr:uid="{00000000-0005-0000-0000-000034060000}"/>
    <cellStyle name="Normal 5 9" xfId="1654" xr:uid="{00000000-0005-0000-0000-000035060000}"/>
    <cellStyle name="Normal 50" xfId="1655" xr:uid="{00000000-0005-0000-0000-000036060000}"/>
    <cellStyle name="Normal 51" xfId="1656" xr:uid="{00000000-0005-0000-0000-000037060000}"/>
    <cellStyle name="Normal 52" xfId="1657" xr:uid="{00000000-0005-0000-0000-000038060000}"/>
    <cellStyle name="Normal 53" xfId="1658" xr:uid="{00000000-0005-0000-0000-000039060000}"/>
    <cellStyle name="Normal 54" xfId="1659" xr:uid="{00000000-0005-0000-0000-00003A060000}"/>
    <cellStyle name="Normal 55" xfId="1660" xr:uid="{00000000-0005-0000-0000-00003B060000}"/>
    <cellStyle name="Normal 56" xfId="1661" xr:uid="{00000000-0005-0000-0000-00003C060000}"/>
    <cellStyle name="Normal 57" xfId="1662" xr:uid="{00000000-0005-0000-0000-00003D060000}"/>
    <cellStyle name="Normal 58" xfId="1663" xr:uid="{00000000-0005-0000-0000-00003E060000}"/>
    <cellStyle name="Normal 59" xfId="1664" xr:uid="{00000000-0005-0000-0000-00003F060000}"/>
    <cellStyle name="Normal 6" xfId="54" xr:uid="{00000000-0005-0000-0000-000040060000}"/>
    <cellStyle name="Normal 6 2" xfId="135" xr:uid="{00000000-0005-0000-0000-000041060000}"/>
    <cellStyle name="Normal 6 3" xfId="1665" xr:uid="{00000000-0005-0000-0000-000042060000}"/>
    <cellStyle name="Normal 6 4" xfId="1666" xr:uid="{00000000-0005-0000-0000-000043060000}"/>
    <cellStyle name="Normal 60" xfId="1667" xr:uid="{00000000-0005-0000-0000-000044060000}"/>
    <cellStyle name="Normal 61" xfId="1668" xr:uid="{00000000-0005-0000-0000-000045060000}"/>
    <cellStyle name="Normal 62" xfId="1669" xr:uid="{00000000-0005-0000-0000-000046060000}"/>
    <cellStyle name="Normal 63" xfId="1670" xr:uid="{00000000-0005-0000-0000-000047060000}"/>
    <cellStyle name="Normal 64" xfId="1671" xr:uid="{00000000-0005-0000-0000-000048060000}"/>
    <cellStyle name="Normal 65" xfId="1672" xr:uid="{00000000-0005-0000-0000-000049060000}"/>
    <cellStyle name="Normal 66" xfId="1673" xr:uid="{00000000-0005-0000-0000-00004A060000}"/>
    <cellStyle name="Normal 67" xfId="1674" xr:uid="{00000000-0005-0000-0000-00004B060000}"/>
    <cellStyle name="Normal 68" xfId="1675" xr:uid="{00000000-0005-0000-0000-00004C060000}"/>
    <cellStyle name="Normal 69" xfId="1676" xr:uid="{00000000-0005-0000-0000-00004D060000}"/>
    <cellStyle name="Normal 7" xfId="4" xr:uid="{00000000-0005-0000-0000-00004E060000}"/>
    <cellStyle name="Normal 7 2" xfId="99" xr:uid="{00000000-0005-0000-0000-00004F060000}"/>
    <cellStyle name="Normal 7 2 2" xfId="142" xr:uid="{00000000-0005-0000-0000-000050060000}"/>
    <cellStyle name="Normal 7 2 2 2" xfId="154" xr:uid="{00000000-0005-0000-0000-000051060000}"/>
    <cellStyle name="Normal 7 2 3" xfId="1677" xr:uid="{00000000-0005-0000-0000-000052060000}"/>
    <cellStyle name="Normal 7 2 3 2" xfId="1678" xr:uid="{00000000-0005-0000-0000-000053060000}"/>
    <cellStyle name="Normal 7 2 4" xfId="1679" xr:uid="{00000000-0005-0000-0000-000054060000}"/>
    <cellStyle name="Normal 7 2 4 2" xfId="1680" xr:uid="{00000000-0005-0000-0000-000055060000}"/>
    <cellStyle name="Normal 7 2 5" xfId="1681" xr:uid="{00000000-0005-0000-0000-000056060000}"/>
    <cellStyle name="Normal 7 2 5 2" xfId="1682" xr:uid="{00000000-0005-0000-0000-000057060000}"/>
    <cellStyle name="Normal 7 2 6" xfId="1683" xr:uid="{00000000-0005-0000-0000-000058060000}"/>
    <cellStyle name="Normal 7 2 7" xfId="1684" xr:uid="{00000000-0005-0000-0000-000059060000}"/>
    <cellStyle name="Normal 7 2 8" xfId="1685" xr:uid="{00000000-0005-0000-0000-00005A060000}"/>
    <cellStyle name="Normal 7 3" xfId="136" xr:uid="{00000000-0005-0000-0000-00005B060000}"/>
    <cellStyle name="Normal 7 3 2" xfId="153" xr:uid="{00000000-0005-0000-0000-00005C060000}"/>
    <cellStyle name="Normal 7 4" xfId="1686" xr:uid="{00000000-0005-0000-0000-00005D060000}"/>
    <cellStyle name="Normal 7 4 2" xfId="1687" xr:uid="{00000000-0005-0000-0000-00005E060000}"/>
    <cellStyle name="Normal 7 5" xfId="1688" xr:uid="{00000000-0005-0000-0000-00005F060000}"/>
    <cellStyle name="Normal 7 5 2" xfId="1689" xr:uid="{00000000-0005-0000-0000-000060060000}"/>
    <cellStyle name="Normal 7 6" xfId="1690" xr:uid="{00000000-0005-0000-0000-000061060000}"/>
    <cellStyle name="Normal 7 7" xfId="1691" xr:uid="{00000000-0005-0000-0000-000062060000}"/>
    <cellStyle name="Normal 7 8" xfId="1692" xr:uid="{00000000-0005-0000-0000-000063060000}"/>
    <cellStyle name="Normal 70" xfId="1693" xr:uid="{00000000-0005-0000-0000-000064060000}"/>
    <cellStyle name="Normal 71" xfId="1694" xr:uid="{00000000-0005-0000-0000-000065060000}"/>
    <cellStyle name="Normal 72" xfId="1695" xr:uid="{00000000-0005-0000-0000-000066060000}"/>
    <cellStyle name="Normal 73" xfId="1696" xr:uid="{00000000-0005-0000-0000-000067060000}"/>
    <cellStyle name="Normal 74" xfId="1697" xr:uid="{00000000-0005-0000-0000-000068060000}"/>
    <cellStyle name="Normal 75" xfId="1698" xr:uid="{00000000-0005-0000-0000-000069060000}"/>
    <cellStyle name="Normal 76" xfId="1699" xr:uid="{00000000-0005-0000-0000-00006A060000}"/>
    <cellStyle name="Normal 77" xfId="1700" xr:uid="{00000000-0005-0000-0000-00006B060000}"/>
    <cellStyle name="Normal 78" xfId="1701" xr:uid="{00000000-0005-0000-0000-00006C060000}"/>
    <cellStyle name="Normal 79" xfId="1702" xr:uid="{00000000-0005-0000-0000-00006D060000}"/>
    <cellStyle name="Normal 8" xfId="112" xr:uid="{00000000-0005-0000-0000-00006E060000}"/>
    <cellStyle name="Normal 8 2" xfId="1703" xr:uid="{00000000-0005-0000-0000-00006F060000}"/>
    <cellStyle name="Normal 8 2 2" xfId="1704" xr:uid="{00000000-0005-0000-0000-000070060000}"/>
    <cellStyle name="Normal 8 3" xfId="1705" xr:uid="{00000000-0005-0000-0000-000071060000}"/>
    <cellStyle name="Normal 8 4" xfId="1706" xr:uid="{00000000-0005-0000-0000-000072060000}"/>
    <cellStyle name="Normal 8 5" xfId="1707" xr:uid="{00000000-0005-0000-0000-000073060000}"/>
    <cellStyle name="Normal 8 6" xfId="1708" xr:uid="{00000000-0005-0000-0000-000074060000}"/>
    <cellStyle name="Normal 80" xfId="1709" xr:uid="{00000000-0005-0000-0000-000075060000}"/>
    <cellStyle name="Normal 81" xfId="1710" xr:uid="{00000000-0005-0000-0000-000076060000}"/>
    <cellStyle name="Normal 82" xfId="1711" xr:uid="{00000000-0005-0000-0000-000077060000}"/>
    <cellStyle name="Normal 83" xfId="1712" xr:uid="{00000000-0005-0000-0000-000078060000}"/>
    <cellStyle name="Normal 84" xfId="1713" xr:uid="{00000000-0005-0000-0000-000079060000}"/>
    <cellStyle name="Normal 85" xfId="8" xr:uid="{00000000-0005-0000-0000-00007A060000}"/>
    <cellStyle name="Normal 9" xfId="156" xr:uid="{00000000-0005-0000-0000-00007B060000}"/>
    <cellStyle name="Normal 9 2" xfId="1714" xr:uid="{00000000-0005-0000-0000-00007C060000}"/>
    <cellStyle name="Normal 9 3" xfId="1715" xr:uid="{00000000-0005-0000-0000-00007D060000}"/>
    <cellStyle name="Normal2" xfId="1716" xr:uid="{00000000-0005-0000-0000-00007E060000}"/>
    <cellStyle name="Normale_385_dettaglio" xfId="1717" xr:uid="{00000000-0005-0000-0000-00007F060000}"/>
    <cellStyle name="Normalny_BP_AI_31072005" xfId="1718" xr:uid="{00000000-0005-0000-0000-000080060000}"/>
    <cellStyle name="NormalOPrint_Module_E (2)" xfId="1719" xr:uid="{00000000-0005-0000-0000-000081060000}"/>
    <cellStyle name="Norm伀l_D_TR_OI" xfId="1720" xr:uid="{00000000-0005-0000-0000-000082060000}"/>
    <cellStyle name="Note 2" xfId="1721" xr:uid="{00000000-0005-0000-0000-000083060000}"/>
    <cellStyle name="npv" xfId="1722" xr:uid="{00000000-0005-0000-0000-000084060000}"/>
    <cellStyle name="o" xfId="1723" xr:uid="{00000000-0005-0000-0000-000085060000}"/>
    <cellStyle name="OddBodyShade" xfId="55" xr:uid="{00000000-0005-0000-0000-000086060000}"/>
    <cellStyle name="OddBodyShade 2" xfId="56" xr:uid="{00000000-0005-0000-0000-000087060000}"/>
    <cellStyle name="OddBodyShade 2 2" xfId="137" xr:uid="{00000000-0005-0000-0000-000088060000}"/>
    <cellStyle name="OddBodyShade 2 3" xfId="1724" xr:uid="{00000000-0005-0000-0000-000089060000}"/>
    <cellStyle name="OddBodyShade 2 4" xfId="1725" xr:uid="{00000000-0005-0000-0000-00008A060000}"/>
    <cellStyle name="Œ…‹æØ‚è [0.00]_Pro Forma for Yamato Lease" xfId="1726" xr:uid="{00000000-0005-0000-0000-00008B060000}"/>
    <cellStyle name="Œ…‹æØ‚è_Kyowa2 " xfId="1727" xr:uid="{00000000-0005-0000-0000-00008C060000}"/>
    <cellStyle name="ou" xfId="1728" xr:uid="{00000000-0005-0000-0000-00008D060000}"/>
    <cellStyle name="out" xfId="1729" xr:uid="{00000000-0005-0000-0000-00008E060000}"/>
    <cellStyle name="Overscore" xfId="57" xr:uid="{00000000-0005-0000-0000-00008F060000}"/>
    <cellStyle name="Overscore 2" xfId="58" xr:uid="{00000000-0005-0000-0000-000090060000}"/>
    <cellStyle name="Overscore 2 2" xfId="138" xr:uid="{00000000-0005-0000-0000-000091060000}"/>
    <cellStyle name="Overscore 2 3" xfId="1730" xr:uid="{00000000-0005-0000-0000-000092060000}"/>
    <cellStyle name="Overscore 2 4" xfId="1731" xr:uid="{00000000-0005-0000-0000-000093060000}"/>
    <cellStyle name="Overunder" xfId="59" xr:uid="{00000000-0005-0000-0000-000094060000}"/>
    <cellStyle name="Overunder 2" xfId="1732" xr:uid="{00000000-0005-0000-0000-000095060000}"/>
    <cellStyle name="P" xfId="60" xr:uid="{00000000-0005-0000-0000-000096060000}"/>
    <cellStyle name="p 10" xfId="1733" xr:uid="{00000000-0005-0000-0000-000097060000}"/>
    <cellStyle name="P 11" xfId="1734" xr:uid="{00000000-0005-0000-0000-000098060000}"/>
    <cellStyle name="P 12" xfId="1735" xr:uid="{00000000-0005-0000-0000-000099060000}"/>
    <cellStyle name="P 13" xfId="1736" xr:uid="{00000000-0005-0000-0000-00009A060000}"/>
    <cellStyle name="P 14" xfId="1737" xr:uid="{00000000-0005-0000-0000-00009B060000}"/>
    <cellStyle name="P 15" xfId="1738" xr:uid="{00000000-0005-0000-0000-00009C060000}"/>
    <cellStyle name="P 16" xfId="1739" xr:uid="{00000000-0005-0000-0000-00009D060000}"/>
    <cellStyle name="P 17" xfId="1740" xr:uid="{00000000-0005-0000-0000-00009E060000}"/>
    <cellStyle name="P 2" xfId="1741" xr:uid="{00000000-0005-0000-0000-00009F060000}"/>
    <cellStyle name="p 3" xfId="1742" xr:uid="{00000000-0005-0000-0000-0000A0060000}"/>
    <cellStyle name="p 4" xfId="1743" xr:uid="{00000000-0005-0000-0000-0000A1060000}"/>
    <cellStyle name="p 5" xfId="1744" xr:uid="{00000000-0005-0000-0000-0000A2060000}"/>
    <cellStyle name="p 6" xfId="1745" xr:uid="{00000000-0005-0000-0000-0000A3060000}"/>
    <cellStyle name="p 7" xfId="1746" xr:uid="{00000000-0005-0000-0000-0000A4060000}"/>
    <cellStyle name="p 8" xfId="1747" xr:uid="{00000000-0005-0000-0000-0000A5060000}"/>
    <cellStyle name="p 9" xfId="1748" xr:uid="{00000000-0005-0000-0000-0000A6060000}"/>
    <cellStyle name="p_Macros" xfId="1749" xr:uid="{00000000-0005-0000-0000-0000A7060000}"/>
    <cellStyle name="p_Macros (2)" xfId="1750" xr:uid="{00000000-0005-0000-0000-0000A8060000}"/>
    <cellStyle name="p_Macros (3)" xfId="1751" xr:uid="{00000000-0005-0000-0000-0000A9060000}"/>
    <cellStyle name="p_Macros_1" xfId="1752" xr:uid="{00000000-0005-0000-0000-0000AA060000}"/>
    <cellStyle name="p_Manager" xfId="1753" xr:uid="{00000000-0005-0000-0000-0000AB060000}"/>
    <cellStyle name="p_Manager (2)" xfId="1754" xr:uid="{00000000-0005-0000-0000-0000AC060000}"/>
    <cellStyle name="p_Manager (2)_1" xfId="1755" xr:uid="{00000000-0005-0000-0000-0000AD060000}"/>
    <cellStyle name="Page Heading" xfId="1756" xr:uid="{00000000-0005-0000-0000-0000AE060000}"/>
    <cellStyle name="Page Heading Large" xfId="1757" xr:uid="{00000000-0005-0000-0000-0000AF060000}"/>
    <cellStyle name="Page Heading Small" xfId="1758" xr:uid="{00000000-0005-0000-0000-0000B0060000}"/>
    <cellStyle name="PB Table Heading" xfId="1759" xr:uid="{00000000-0005-0000-0000-0000B1060000}"/>
    <cellStyle name="PB Table Highlight1" xfId="1760" xr:uid="{00000000-0005-0000-0000-0000B2060000}"/>
    <cellStyle name="PB Table Highlight2" xfId="1761" xr:uid="{00000000-0005-0000-0000-0000B3060000}"/>
    <cellStyle name="PB Table Highlight3" xfId="1762" xr:uid="{00000000-0005-0000-0000-0000B4060000}"/>
    <cellStyle name="PB Table Standard Row" xfId="1763" xr:uid="{00000000-0005-0000-0000-0000B5060000}"/>
    <cellStyle name="PB Table Subtotal Row" xfId="1764" xr:uid="{00000000-0005-0000-0000-0000B6060000}"/>
    <cellStyle name="PB Table Total Row" xfId="1765" xr:uid="{00000000-0005-0000-0000-0000B7060000}"/>
    <cellStyle name="pd" xfId="1766" xr:uid="{00000000-0005-0000-0000-0000B8060000}"/>
    <cellStyle name="pe" xfId="1767" xr:uid="{00000000-0005-0000-0000-0000B9060000}"/>
    <cellStyle name="per" xfId="1768" xr:uid="{00000000-0005-0000-0000-0000BA060000}"/>
    <cellStyle name="Percent (0)" xfId="1769" xr:uid="{00000000-0005-0000-0000-0000BC060000}"/>
    <cellStyle name="Percent (2)" xfId="1770" xr:uid="{00000000-0005-0000-0000-0000BD060000}"/>
    <cellStyle name="Percent [0]" xfId="1771" xr:uid="{00000000-0005-0000-0000-0000BE060000}"/>
    <cellStyle name="Percent [00]" xfId="1772" xr:uid="{00000000-0005-0000-0000-0000BF060000}"/>
    <cellStyle name="Percent [1]" xfId="1773" xr:uid="{00000000-0005-0000-0000-0000C0060000}"/>
    <cellStyle name="Percent [1][]" xfId="1774" xr:uid="{00000000-0005-0000-0000-0000C1060000}"/>
    <cellStyle name="Percent [1]_220 E 63rd - Q4RF - VALUATIONv4" xfId="1775" xr:uid="{00000000-0005-0000-0000-0000C2060000}"/>
    <cellStyle name="Percent [2]" xfId="62" xr:uid="{00000000-0005-0000-0000-0000C3060000}"/>
    <cellStyle name="Percent 0%" xfId="1776" xr:uid="{00000000-0005-0000-0000-0000C4060000}"/>
    <cellStyle name="Percent 0.0%" xfId="1777" xr:uid="{00000000-0005-0000-0000-0000C5060000}"/>
    <cellStyle name="Percent 0.00%" xfId="1778" xr:uid="{00000000-0005-0000-0000-0000C6060000}"/>
    <cellStyle name="Percent 10" xfId="1779" xr:uid="{00000000-0005-0000-0000-0000C7060000}"/>
    <cellStyle name="Percent 10 2" xfId="1780" xr:uid="{00000000-0005-0000-0000-0000C8060000}"/>
    <cellStyle name="Percent 100" xfId="1781" xr:uid="{00000000-0005-0000-0000-0000C9060000}"/>
    <cellStyle name="Percent 101" xfId="1782" xr:uid="{00000000-0005-0000-0000-0000CA060000}"/>
    <cellStyle name="Percent 102" xfId="1783" xr:uid="{00000000-0005-0000-0000-0000CB060000}"/>
    <cellStyle name="Percent 103" xfId="1784" xr:uid="{00000000-0005-0000-0000-0000CC060000}"/>
    <cellStyle name="Percent 104" xfId="1785" xr:uid="{00000000-0005-0000-0000-0000CD060000}"/>
    <cellStyle name="Percent 105" xfId="1786" xr:uid="{00000000-0005-0000-0000-0000CE060000}"/>
    <cellStyle name="Percent 106" xfId="1787" xr:uid="{00000000-0005-0000-0000-0000CF060000}"/>
    <cellStyle name="Percent 107" xfId="1788" xr:uid="{00000000-0005-0000-0000-0000D0060000}"/>
    <cellStyle name="Percent 108" xfId="1789" xr:uid="{00000000-0005-0000-0000-0000D1060000}"/>
    <cellStyle name="Percent 109" xfId="1790" xr:uid="{00000000-0005-0000-0000-0000D2060000}"/>
    <cellStyle name="Percent 11" xfId="1791" xr:uid="{00000000-0005-0000-0000-0000D3060000}"/>
    <cellStyle name="Percent 110" xfId="1792" xr:uid="{00000000-0005-0000-0000-0000D4060000}"/>
    <cellStyle name="Percent 111" xfId="1793" xr:uid="{00000000-0005-0000-0000-0000D5060000}"/>
    <cellStyle name="Percent 112" xfId="1794" xr:uid="{00000000-0005-0000-0000-0000D6060000}"/>
    <cellStyle name="Percent 113" xfId="1795" xr:uid="{00000000-0005-0000-0000-0000D7060000}"/>
    <cellStyle name="Percent 114" xfId="1796" xr:uid="{00000000-0005-0000-0000-0000D8060000}"/>
    <cellStyle name="Percent 115" xfId="1797" xr:uid="{00000000-0005-0000-0000-0000D9060000}"/>
    <cellStyle name="Percent 116" xfId="1798" xr:uid="{00000000-0005-0000-0000-0000DA060000}"/>
    <cellStyle name="Percent 117" xfId="1799" xr:uid="{00000000-0005-0000-0000-0000DB060000}"/>
    <cellStyle name="Percent 118" xfId="1800" xr:uid="{00000000-0005-0000-0000-0000DC060000}"/>
    <cellStyle name="Percent 119" xfId="1801" xr:uid="{00000000-0005-0000-0000-0000DD060000}"/>
    <cellStyle name="Percent 12" xfId="1802" xr:uid="{00000000-0005-0000-0000-0000DE060000}"/>
    <cellStyle name="Percent 120" xfId="1803" xr:uid="{00000000-0005-0000-0000-0000DF060000}"/>
    <cellStyle name="Percent 121" xfId="1804" xr:uid="{00000000-0005-0000-0000-0000E0060000}"/>
    <cellStyle name="Percent 122" xfId="1805" xr:uid="{00000000-0005-0000-0000-0000E1060000}"/>
    <cellStyle name="Percent 123" xfId="1806" xr:uid="{00000000-0005-0000-0000-0000E2060000}"/>
    <cellStyle name="Percent 124" xfId="1807" xr:uid="{00000000-0005-0000-0000-0000E3060000}"/>
    <cellStyle name="Percent 125" xfId="1808" xr:uid="{00000000-0005-0000-0000-0000E4060000}"/>
    <cellStyle name="Percent 126" xfId="1809" xr:uid="{00000000-0005-0000-0000-0000E5060000}"/>
    <cellStyle name="Percent 127" xfId="1810" xr:uid="{00000000-0005-0000-0000-0000E6060000}"/>
    <cellStyle name="Percent 128" xfId="1811" xr:uid="{00000000-0005-0000-0000-0000E7060000}"/>
    <cellStyle name="Percent 129" xfId="1812" xr:uid="{00000000-0005-0000-0000-0000E8060000}"/>
    <cellStyle name="Percent 13" xfId="1813" xr:uid="{00000000-0005-0000-0000-0000E9060000}"/>
    <cellStyle name="Percent 130" xfId="1814" xr:uid="{00000000-0005-0000-0000-0000EA060000}"/>
    <cellStyle name="Percent 131" xfId="1815" xr:uid="{00000000-0005-0000-0000-0000EB060000}"/>
    <cellStyle name="Percent 132" xfId="1816" xr:uid="{00000000-0005-0000-0000-0000EC060000}"/>
    <cellStyle name="Percent 133" xfId="1817" xr:uid="{00000000-0005-0000-0000-0000ED060000}"/>
    <cellStyle name="Percent 134" xfId="1818" xr:uid="{00000000-0005-0000-0000-0000EE060000}"/>
    <cellStyle name="Percent 135" xfId="1819" xr:uid="{00000000-0005-0000-0000-0000EF060000}"/>
    <cellStyle name="Percent 136" xfId="1820" xr:uid="{00000000-0005-0000-0000-0000F0060000}"/>
    <cellStyle name="Percent 137" xfId="1821" xr:uid="{00000000-0005-0000-0000-0000F1060000}"/>
    <cellStyle name="Percent 138" xfId="1822" xr:uid="{00000000-0005-0000-0000-0000F2060000}"/>
    <cellStyle name="Percent 139" xfId="1823" xr:uid="{00000000-0005-0000-0000-0000F3060000}"/>
    <cellStyle name="Percent 14" xfId="1824" xr:uid="{00000000-0005-0000-0000-0000F4060000}"/>
    <cellStyle name="Percent 14 2" xfId="1825" xr:uid="{00000000-0005-0000-0000-0000F5060000}"/>
    <cellStyle name="Percent 140" xfId="1826" xr:uid="{00000000-0005-0000-0000-0000F6060000}"/>
    <cellStyle name="Percent 141" xfId="1827" xr:uid="{00000000-0005-0000-0000-0000F7060000}"/>
    <cellStyle name="Percent 142" xfId="1828" xr:uid="{00000000-0005-0000-0000-0000F8060000}"/>
    <cellStyle name="Percent 143" xfId="1829" xr:uid="{00000000-0005-0000-0000-0000F9060000}"/>
    <cellStyle name="Percent 144" xfId="1830" xr:uid="{00000000-0005-0000-0000-0000FA060000}"/>
    <cellStyle name="Percent 145" xfId="1831" xr:uid="{00000000-0005-0000-0000-0000FB060000}"/>
    <cellStyle name="Percent 146" xfId="1832" xr:uid="{00000000-0005-0000-0000-0000FC060000}"/>
    <cellStyle name="Percent 147" xfId="1833" xr:uid="{00000000-0005-0000-0000-0000FD060000}"/>
    <cellStyle name="Percent 148" xfId="1834" xr:uid="{00000000-0005-0000-0000-0000FE060000}"/>
    <cellStyle name="Percent 149" xfId="1835" xr:uid="{00000000-0005-0000-0000-0000FF060000}"/>
    <cellStyle name="Percent 15" xfId="1836" xr:uid="{00000000-0005-0000-0000-000000070000}"/>
    <cellStyle name="Percent 15 2" xfId="1837" xr:uid="{00000000-0005-0000-0000-000001070000}"/>
    <cellStyle name="Percent 150" xfId="1838" xr:uid="{00000000-0005-0000-0000-000002070000}"/>
    <cellStyle name="Percent 151" xfId="1839" xr:uid="{00000000-0005-0000-0000-000003070000}"/>
    <cellStyle name="Percent 152" xfId="1840" xr:uid="{00000000-0005-0000-0000-000004070000}"/>
    <cellStyle name="Percent 153" xfId="1841" xr:uid="{00000000-0005-0000-0000-000005070000}"/>
    <cellStyle name="Percent 154" xfId="1842" xr:uid="{00000000-0005-0000-0000-000006070000}"/>
    <cellStyle name="Percent 155" xfId="1843" xr:uid="{00000000-0005-0000-0000-000007070000}"/>
    <cellStyle name="Percent 156" xfId="1844" xr:uid="{00000000-0005-0000-0000-000008070000}"/>
    <cellStyle name="Percent 157" xfId="1845" xr:uid="{00000000-0005-0000-0000-000009070000}"/>
    <cellStyle name="Percent 158" xfId="1846" xr:uid="{00000000-0005-0000-0000-00000A070000}"/>
    <cellStyle name="Percent 159" xfId="1847" xr:uid="{00000000-0005-0000-0000-00000B070000}"/>
    <cellStyle name="Percent 16" xfId="1848" xr:uid="{00000000-0005-0000-0000-00000C070000}"/>
    <cellStyle name="Percent 160" xfId="61" xr:uid="{00000000-0005-0000-0000-00000D070000}"/>
    <cellStyle name="Percent 17" xfId="1849" xr:uid="{00000000-0005-0000-0000-00000E070000}"/>
    <cellStyle name="Percent 18" xfId="1850" xr:uid="{00000000-0005-0000-0000-00000F070000}"/>
    <cellStyle name="Percent 19" xfId="1851" xr:uid="{00000000-0005-0000-0000-000010070000}"/>
    <cellStyle name="Percent 2" xfId="6" xr:uid="{00000000-0005-0000-0000-000011070000}"/>
    <cellStyle name="Percent 2 2" xfId="63" xr:uid="{00000000-0005-0000-0000-000012070000}"/>
    <cellStyle name="Percent 2 2 2" xfId="1852" xr:uid="{00000000-0005-0000-0000-000013070000}"/>
    <cellStyle name="Percent 2 3" xfId="1853" xr:uid="{00000000-0005-0000-0000-000014070000}"/>
    <cellStyle name="Percent 2 3 2" xfId="1854" xr:uid="{00000000-0005-0000-0000-000015070000}"/>
    <cellStyle name="Percent 2 4" xfId="1855" xr:uid="{00000000-0005-0000-0000-000016070000}"/>
    <cellStyle name="Percent 2 4 2" xfId="1856" xr:uid="{00000000-0005-0000-0000-000017070000}"/>
    <cellStyle name="Percent 2 4 3" xfId="1857" xr:uid="{00000000-0005-0000-0000-000018070000}"/>
    <cellStyle name="Percent 2 4 3 2" xfId="1858" xr:uid="{00000000-0005-0000-0000-000019070000}"/>
    <cellStyle name="Percent 2 4 4" xfId="1859" xr:uid="{00000000-0005-0000-0000-00001A070000}"/>
    <cellStyle name="Percent 2 5" xfId="1860" xr:uid="{00000000-0005-0000-0000-00001B070000}"/>
    <cellStyle name="Percent 2 5 2" xfId="1861" xr:uid="{00000000-0005-0000-0000-00001C070000}"/>
    <cellStyle name="Percent 2 6" xfId="1862" xr:uid="{00000000-0005-0000-0000-00001D070000}"/>
    <cellStyle name="Percent 20" xfId="1863" xr:uid="{00000000-0005-0000-0000-00001E070000}"/>
    <cellStyle name="Percent 21" xfId="1864" xr:uid="{00000000-0005-0000-0000-00001F070000}"/>
    <cellStyle name="Percent 22" xfId="1865" xr:uid="{00000000-0005-0000-0000-000020070000}"/>
    <cellStyle name="Percent 23" xfId="1866" xr:uid="{00000000-0005-0000-0000-000021070000}"/>
    <cellStyle name="Percent 24" xfId="1867" xr:uid="{00000000-0005-0000-0000-000022070000}"/>
    <cellStyle name="Percent 25" xfId="1868" xr:uid="{00000000-0005-0000-0000-000023070000}"/>
    <cellStyle name="Percent 26" xfId="1869" xr:uid="{00000000-0005-0000-0000-000024070000}"/>
    <cellStyle name="Percent 27" xfId="1870" xr:uid="{00000000-0005-0000-0000-000025070000}"/>
    <cellStyle name="Percent 28" xfId="1871" xr:uid="{00000000-0005-0000-0000-000026070000}"/>
    <cellStyle name="Percent 29" xfId="1872" xr:uid="{00000000-0005-0000-0000-000027070000}"/>
    <cellStyle name="Percent 3" xfId="64" xr:uid="{00000000-0005-0000-0000-000028070000}"/>
    <cellStyle name="Percent 3 2" xfId="1873" xr:uid="{00000000-0005-0000-0000-000029070000}"/>
    <cellStyle name="Percent 3 2 2" xfId="1874" xr:uid="{00000000-0005-0000-0000-00002A070000}"/>
    <cellStyle name="Percent 3 3" xfId="1875" xr:uid="{00000000-0005-0000-0000-00002B070000}"/>
    <cellStyle name="Percent 3 3 2" xfId="1876" xr:uid="{00000000-0005-0000-0000-00002C070000}"/>
    <cellStyle name="Percent 3 4" xfId="1877" xr:uid="{00000000-0005-0000-0000-00002D070000}"/>
    <cellStyle name="Percent 3 5" xfId="1878" xr:uid="{00000000-0005-0000-0000-00002E070000}"/>
    <cellStyle name="Percent 30" xfId="1879" xr:uid="{00000000-0005-0000-0000-00002F070000}"/>
    <cellStyle name="Percent 31" xfId="1880" xr:uid="{00000000-0005-0000-0000-000030070000}"/>
    <cellStyle name="Percent 32" xfId="1881" xr:uid="{00000000-0005-0000-0000-000031070000}"/>
    <cellStyle name="Percent 33" xfId="1882" xr:uid="{00000000-0005-0000-0000-000032070000}"/>
    <cellStyle name="Percent 34" xfId="1883" xr:uid="{00000000-0005-0000-0000-000033070000}"/>
    <cellStyle name="Percent 35" xfId="1884" xr:uid="{00000000-0005-0000-0000-000034070000}"/>
    <cellStyle name="Percent 36" xfId="1885" xr:uid="{00000000-0005-0000-0000-000035070000}"/>
    <cellStyle name="Percent 37" xfId="1886" xr:uid="{00000000-0005-0000-0000-000036070000}"/>
    <cellStyle name="Percent 38" xfId="1887" xr:uid="{00000000-0005-0000-0000-000037070000}"/>
    <cellStyle name="Percent 39" xfId="1888" xr:uid="{00000000-0005-0000-0000-000038070000}"/>
    <cellStyle name="Percent 4" xfId="65" xr:uid="{00000000-0005-0000-0000-000039070000}"/>
    <cellStyle name="Percent 4 2" xfId="66" xr:uid="{00000000-0005-0000-0000-00003A070000}"/>
    <cellStyle name="Percent 4 2 2" xfId="1889" xr:uid="{00000000-0005-0000-0000-00003B070000}"/>
    <cellStyle name="Percent 4 2 3" xfId="1890" xr:uid="{00000000-0005-0000-0000-00003C070000}"/>
    <cellStyle name="Percent 4 3" xfId="1891" xr:uid="{00000000-0005-0000-0000-00003D070000}"/>
    <cellStyle name="Percent 40" xfId="1892" xr:uid="{00000000-0005-0000-0000-00003E070000}"/>
    <cellStyle name="Percent 41" xfId="1893" xr:uid="{00000000-0005-0000-0000-00003F070000}"/>
    <cellStyle name="Percent 42" xfId="1894" xr:uid="{00000000-0005-0000-0000-000040070000}"/>
    <cellStyle name="Percent 43" xfId="1895" xr:uid="{00000000-0005-0000-0000-000041070000}"/>
    <cellStyle name="Percent 44" xfId="1896" xr:uid="{00000000-0005-0000-0000-000042070000}"/>
    <cellStyle name="Percent 45" xfId="1897" xr:uid="{00000000-0005-0000-0000-000043070000}"/>
    <cellStyle name="Percent 46" xfId="1898" xr:uid="{00000000-0005-0000-0000-000044070000}"/>
    <cellStyle name="Percent 47" xfId="1899" xr:uid="{00000000-0005-0000-0000-000045070000}"/>
    <cellStyle name="Percent 48" xfId="1900" xr:uid="{00000000-0005-0000-0000-000046070000}"/>
    <cellStyle name="Percent 49" xfId="1901" xr:uid="{00000000-0005-0000-0000-000047070000}"/>
    <cellStyle name="Percent 5" xfId="102" xr:uid="{00000000-0005-0000-0000-000048070000}"/>
    <cellStyle name="Percent 5 10" xfId="1902" xr:uid="{00000000-0005-0000-0000-000049070000}"/>
    <cellStyle name="Percent 5 11" xfId="1903" xr:uid="{00000000-0005-0000-0000-00004A070000}"/>
    <cellStyle name="Percent 5 2" xfId="143" xr:uid="{00000000-0005-0000-0000-00004B070000}"/>
    <cellStyle name="Percent 5 2 2" xfId="1904" xr:uid="{00000000-0005-0000-0000-00004C070000}"/>
    <cellStyle name="Percent 5 2 2 2" xfId="1905" xr:uid="{00000000-0005-0000-0000-00004D070000}"/>
    <cellStyle name="Percent 5 2 2 2 2" xfId="1906" xr:uid="{00000000-0005-0000-0000-00004E070000}"/>
    <cellStyle name="Percent 5 2 2 3" xfId="1907" xr:uid="{00000000-0005-0000-0000-00004F070000}"/>
    <cellStyle name="Percent 5 2 2 4" xfId="1908" xr:uid="{00000000-0005-0000-0000-000050070000}"/>
    <cellStyle name="Percent 5 2 3" xfId="1909" xr:uid="{00000000-0005-0000-0000-000051070000}"/>
    <cellStyle name="Percent 5 2 3 2" xfId="1910" xr:uid="{00000000-0005-0000-0000-000052070000}"/>
    <cellStyle name="Percent 5 2 4" xfId="1911" xr:uid="{00000000-0005-0000-0000-000053070000}"/>
    <cellStyle name="Percent 5 2 5" xfId="1912" xr:uid="{00000000-0005-0000-0000-000054070000}"/>
    <cellStyle name="Percent 5 3" xfId="1913" xr:uid="{00000000-0005-0000-0000-000055070000}"/>
    <cellStyle name="Percent 5 3 2" xfId="1914" xr:uid="{00000000-0005-0000-0000-000056070000}"/>
    <cellStyle name="Percent 5 3 2 2" xfId="1915" xr:uid="{00000000-0005-0000-0000-000057070000}"/>
    <cellStyle name="Percent 5 3 2 2 2" xfId="1916" xr:uid="{00000000-0005-0000-0000-000058070000}"/>
    <cellStyle name="Percent 5 3 2 3" xfId="1917" xr:uid="{00000000-0005-0000-0000-000059070000}"/>
    <cellStyle name="Percent 5 3 2 4" xfId="1918" xr:uid="{00000000-0005-0000-0000-00005A070000}"/>
    <cellStyle name="Percent 5 3 3" xfId="1919" xr:uid="{00000000-0005-0000-0000-00005B070000}"/>
    <cellStyle name="Percent 5 3 3 2" xfId="1920" xr:uid="{00000000-0005-0000-0000-00005C070000}"/>
    <cellStyle name="Percent 5 3 4" xfId="1921" xr:uid="{00000000-0005-0000-0000-00005D070000}"/>
    <cellStyle name="Percent 5 3 5" xfId="1922" xr:uid="{00000000-0005-0000-0000-00005E070000}"/>
    <cellStyle name="Percent 5 4" xfId="1923" xr:uid="{00000000-0005-0000-0000-00005F070000}"/>
    <cellStyle name="Percent 5 4 2" xfId="1924" xr:uid="{00000000-0005-0000-0000-000060070000}"/>
    <cellStyle name="Percent 5 4 2 2" xfId="1925" xr:uid="{00000000-0005-0000-0000-000061070000}"/>
    <cellStyle name="Percent 5 4 2 2 2" xfId="1926" xr:uid="{00000000-0005-0000-0000-000062070000}"/>
    <cellStyle name="Percent 5 4 2 3" xfId="1927" xr:uid="{00000000-0005-0000-0000-000063070000}"/>
    <cellStyle name="Percent 5 4 2 4" xfId="1928" xr:uid="{00000000-0005-0000-0000-000064070000}"/>
    <cellStyle name="Percent 5 4 3" xfId="1929" xr:uid="{00000000-0005-0000-0000-000065070000}"/>
    <cellStyle name="Percent 5 4 3 2" xfId="1930" xr:uid="{00000000-0005-0000-0000-000066070000}"/>
    <cellStyle name="Percent 5 4 4" xfId="1931" xr:uid="{00000000-0005-0000-0000-000067070000}"/>
    <cellStyle name="Percent 5 4 5" xfId="1932" xr:uid="{00000000-0005-0000-0000-000068070000}"/>
    <cellStyle name="Percent 5 5" xfId="1933" xr:uid="{00000000-0005-0000-0000-000069070000}"/>
    <cellStyle name="Percent 5 5 2" xfId="1934" xr:uid="{00000000-0005-0000-0000-00006A070000}"/>
    <cellStyle name="Percent 5 5 2 2" xfId="1935" xr:uid="{00000000-0005-0000-0000-00006B070000}"/>
    <cellStyle name="Percent 5 5 3" xfId="1936" xr:uid="{00000000-0005-0000-0000-00006C070000}"/>
    <cellStyle name="Percent 5 5 4" xfId="1937" xr:uid="{00000000-0005-0000-0000-00006D070000}"/>
    <cellStyle name="Percent 5 6" xfId="1938" xr:uid="{00000000-0005-0000-0000-00006E070000}"/>
    <cellStyle name="Percent 5 7" xfId="1939" xr:uid="{00000000-0005-0000-0000-00006F070000}"/>
    <cellStyle name="Percent 5 7 2" xfId="1940" xr:uid="{00000000-0005-0000-0000-000070070000}"/>
    <cellStyle name="Percent 5 7 2 2" xfId="1941" xr:uid="{00000000-0005-0000-0000-000071070000}"/>
    <cellStyle name="Percent 5 7 3" xfId="1942" xr:uid="{00000000-0005-0000-0000-000072070000}"/>
    <cellStyle name="Percent 5 7 4" xfId="1943" xr:uid="{00000000-0005-0000-0000-000073070000}"/>
    <cellStyle name="Percent 5 8" xfId="1944" xr:uid="{00000000-0005-0000-0000-000074070000}"/>
    <cellStyle name="Percent 5 8 2" xfId="1945" xr:uid="{00000000-0005-0000-0000-000075070000}"/>
    <cellStyle name="Percent 5 8 2 2" xfId="1946" xr:uid="{00000000-0005-0000-0000-000076070000}"/>
    <cellStyle name="Percent 5 8 3" xfId="1947" xr:uid="{00000000-0005-0000-0000-000077070000}"/>
    <cellStyle name="Percent 5 8 4" xfId="1948" xr:uid="{00000000-0005-0000-0000-000078070000}"/>
    <cellStyle name="Percent 5 9" xfId="1949" xr:uid="{00000000-0005-0000-0000-000079070000}"/>
    <cellStyle name="Percent 5 9 2" xfId="1950" xr:uid="{00000000-0005-0000-0000-00007A070000}"/>
    <cellStyle name="Percent 50" xfId="1951" xr:uid="{00000000-0005-0000-0000-00007B070000}"/>
    <cellStyle name="Percent 51" xfId="1952" xr:uid="{00000000-0005-0000-0000-00007C070000}"/>
    <cellStyle name="Percent 52" xfId="1953" xr:uid="{00000000-0005-0000-0000-00007D070000}"/>
    <cellStyle name="Percent 53" xfId="1954" xr:uid="{00000000-0005-0000-0000-00007E070000}"/>
    <cellStyle name="Percent 54" xfId="1955" xr:uid="{00000000-0005-0000-0000-00007F070000}"/>
    <cellStyle name="Percent 55" xfId="1956" xr:uid="{00000000-0005-0000-0000-000080070000}"/>
    <cellStyle name="Percent 56" xfId="1957" xr:uid="{00000000-0005-0000-0000-000081070000}"/>
    <cellStyle name="Percent 57" xfId="1958" xr:uid="{00000000-0005-0000-0000-000082070000}"/>
    <cellStyle name="Percent 58" xfId="1959" xr:uid="{00000000-0005-0000-0000-000083070000}"/>
    <cellStyle name="Percent 59" xfId="1960" xr:uid="{00000000-0005-0000-0000-000084070000}"/>
    <cellStyle name="Percent 6" xfId="1961" xr:uid="{00000000-0005-0000-0000-000085070000}"/>
    <cellStyle name="Percent 6 2" xfId="1962" xr:uid="{00000000-0005-0000-0000-000086070000}"/>
    <cellStyle name="Percent 6 2 2" xfId="1963" xr:uid="{00000000-0005-0000-0000-000087070000}"/>
    <cellStyle name="Percent 6 2 2 2" xfId="1964" xr:uid="{00000000-0005-0000-0000-000088070000}"/>
    <cellStyle name="Percent 6 2 3" xfId="1965" xr:uid="{00000000-0005-0000-0000-000089070000}"/>
    <cellStyle name="Percent 6 2 4" xfId="1966" xr:uid="{00000000-0005-0000-0000-00008A070000}"/>
    <cellStyle name="Percent 6 3" xfId="1967" xr:uid="{00000000-0005-0000-0000-00008B070000}"/>
    <cellStyle name="Percent 6 4" xfId="1968" xr:uid="{00000000-0005-0000-0000-00008C070000}"/>
    <cellStyle name="Percent 6 4 2" xfId="1969" xr:uid="{00000000-0005-0000-0000-00008D070000}"/>
    <cellStyle name="Percent 6 5" xfId="1970" xr:uid="{00000000-0005-0000-0000-00008E070000}"/>
    <cellStyle name="Percent 6 6" xfId="1971" xr:uid="{00000000-0005-0000-0000-00008F070000}"/>
    <cellStyle name="Percent 60" xfId="1972" xr:uid="{00000000-0005-0000-0000-000090070000}"/>
    <cellStyle name="Percent 61" xfId="1973" xr:uid="{00000000-0005-0000-0000-000091070000}"/>
    <cellStyle name="Percent 62" xfId="1974" xr:uid="{00000000-0005-0000-0000-000092070000}"/>
    <cellStyle name="Percent 63" xfId="1975" xr:uid="{00000000-0005-0000-0000-000093070000}"/>
    <cellStyle name="Percent 64" xfId="1976" xr:uid="{00000000-0005-0000-0000-000094070000}"/>
    <cellStyle name="Percent 65" xfId="1977" xr:uid="{00000000-0005-0000-0000-000095070000}"/>
    <cellStyle name="Percent 66" xfId="1978" xr:uid="{00000000-0005-0000-0000-000096070000}"/>
    <cellStyle name="Percent 67" xfId="1979" xr:uid="{00000000-0005-0000-0000-000097070000}"/>
    <cellStyle name="Percent 68" xfId="1980" xr:uid="{00000000-0005-0000-0000-000098070000}"/>
    <cellStyle name="Percent 69" xfId="1981" xr:uid="{00000000-0005-0000-0000-000099070000}"/>
    <cellStyle name="Percent 7" xfId="1982" xr:uid="{00000000-0005-0000-0000-00009A070000}"/>
    <cellStyle name="Percent 7 2" xfId="1983" xr:uid="{00000000-0005-0000-0000-00009B070000}"/>
    <cellStyle name="Percent 7 2 2" xfId="1984" xr:uid="{00000000-0005-0000-0000-00009C070000}"/>
    <cellStyle name="Percent 7 2 2 2" xfId="1985" xr:uid="{00000000-0005-0000-0000-00009D070000}"/>
    <cellStyle name="Percent 7 2 3" xfId="1986" xr:uid="{00000000-0005-0000-0000-00009E070000}"/>
    <cellStyle name="Percent 7 3" xfId="1987" xr:uid="{00000000-0005-0000-0000-00009F070000}"/>
    <cellStyle name="Percent 7 4" xfId="1988" xr:uid="{00000000-0005-0000-0000-0000A0070000}"/>
    <cellStyle name="Percent 7 4 2" xfId="1989" xr:uid="{00000000-0005-0000-0000-0000A1070000}"/>
    <cellStyle name="Percent 7 5" xfId="1990" xr:uid="{00000000-0005-0000-0000-0000A2070000}"/>
    <cellStyle name="Percent 7 6" xfId="1991" xr:uid="{00000000-0005-0000-0000-0000A3070000}"/>
    <cellStyle name="Percent 70" xfId="1992" xr:uid="{00000000-0005-0000-0000-0000A4070000}"/>
    <cellStyle name="Percent 71" xfId="1993" xr:uid="{00000000-0005-0000-0000-0000A5070000}"/>
    <cellStyle name="Percent 72" xfId="1994" xr:uid="{00000000-0005-0000-0000-0000A6070000}"/>
    <cellStyle name="Percent 73" xfId="1995" xr:uid="{00000000-0005-0000-0000-0000A7070000}"/>
    <cellStyle name="Percent 74" xfId="1996" xr:uid="{00000000-0005-0000-0000-0000A8070000}"/>
    <cellStyle name="Percent 75" xfId="1997" xr:uid="{00000000-0005-0000-0000-0000A9070000}"/>
    <cellStyle name="Percent 76" xfId="1998" xr:uid="{00000000-0005-0000-0000-0000AA070000}"/>
    <cellStyle name="Percent 76 2" xfId="1999" xr:uid="{00000000-0005-0000-0000-0000AB070000}"/>
    <cellStyle name="Percent 77" xfId="2000" xr:uid="{00000000-0005-0000-0000-0000AC070000}"/>
    <cellStyle name="Percent 77 2" xfId="2001" xr:uid="{00000000-0005-0000-0000-0000AD070000}"/>
    <cellStyle name="Percent 78" xfId="2002" xr:uid="{00000000-0005-0000-0000-0000AE070000}"/>
    <cellStyle name="Percent 78 2" xfId="2003" xr:uid="{00000000-0005-0000-0000-0000AF070000}"/>
    <cellStyle name="Percent 79" xfId="2004" xr:uid="{00000000-0005-0000-0000-0000B0070000}"/>
    <cellStyle name="Percent 79 2" xfId="2005" xr:uid="{00000000-0005-0000-0000-0000B1070000}"/>
    <cellStyle name="Percent 8" xfId="2006" xr:uid="{00000000-0005-0000-0000-0000B2070000}"/>
    <cellStyle name="Percent 8 2" xfId="2007" xr:uid="{00000000-0005-0000-0000-0000B3070000}"/>
    <cellStyle name="Percent 80" xfId="2008" xr:uid="{00000000-0005-0000-0000-0000B4070000}"/>
    <cellStyle name="Percent 81" xfId="2009" xr:uid="{00000000-0005-0000-0000-0000B5070000}"/>
    <cellStyle name="Percent 81 2" xfId="2010" xr:uid="{00000000-0005-0000-0000-0000B6070000}"/>
    <cellStyle name="Percent 82" xfId="2011" xr:uid="{00000000-0005-0000-0000-0000B7070000}"/>
    <cellStyle name="Percent 82 2" xfId="2012" xr:uid="{00000000-0005-0000-0000-0000B8070000}"/>
    <cellStyle name="Percent 83" xfId="2013" xr:uid="{00000000-0005-0000-0000-0000B9070000}"/>
    <cellStyle name="Percent 84" xfId="2014" xr:uid="{00000000-0005-0000-0000-0000BA070000}"/>
    <cellStyle name="Percent 85" xfId="2015" xr:uid="{00000000-0005-0000-0000-0000BB070000}"/>
    <cellStyle name="Percent 86" xfId="2016" xr:uid="{00000000-0005-0000-0000-0000BC070000}"/>
    <cellStyle name="Percent 87" xfId="2017" xr:uid="{00000000-0005-0000-0000-0000BD070000}"/>
    <cellStyle name="Percent 88" xfId="2018" xr:uid="{00000000-0005-0000-0000-0000BE070000}"/>
    <cellStyle name="Percent 89" xfId="2019" xr:uid="{00000000-0005-0000-0000-0000BF070000}"/>
    <cellStyle name="Percent 9" xfId="2020" xr:uid="{00000000-0005-0000-0000-0000C0070000}"/>
    <cellStyle name="Percent 9 2" xfId="2021" xr:uid="{00000000-0005-0000-0000-0000C1070000}"/>
    <cellStyle name="Percent 90" xfId="2022" xr:uid="{00000000-0005-0000-0000-0000C2070000}"/>
    <cellStyle name="Percent 91" xfId="2023" xr:uid="{00000000-0005-0000-0000-0000C3070000}"/>
    <cellStyle name="Percent 92" xfId="2024" xr:uid="{00000000-0005-0000-0000-0000C4070000}"/>
    <cellStyle name="Percent 93" xfId="2025" xr:uid="{00000000-0005-0000-0000-0000C5070000}"/>
    <cellStyle name="Percent 94" xfId="2026" xr:uid="{00000000-0005-0000-0000-0000C6070000}"/>
    <cellStyle name="Percent 95" xfId="2027" xr:uid="{00000000-0005-0000-0000-0000C7070000}"/>
    <cellStyle name="Percent 96" xfId="2028" xr:uid="{00000000-0005-0000-0000-0000C8070000}"/>
    <cellStyle name="Percent 97" xfId="2029" xr:uid="{00000000-0005-0000-0000-0000C9070000}"/>
    <cellStyle name="Percent 98" xfId="2030" xr:uid="{00000000-0005-0000-0000-0000CA070000}"/>
    <cellStyle name="Percent 99" xfId="2031" xr:uid="{00000000-0005-0000-0000-0000CB070000}"/>
    <cellStyle name="Percent Hard" xfId="2032" xr:uid="{00000000-0005-0000-0000-0000CC070000}"/>
    <cellStyle name="Percent.brdr" xfId="2033" xr:uid="{00000000-0005-0000-0000-0000CD070000}"/>
    <cellStyle name="Percent.brdr 2" xfId="2034" xr:uid="{00000000-0005-0000-0000-0000CE070000}"/>
    <cellStyle name="pert" xfId="2035" xr:uid="{00000000-0005-0000-0000-0000CF070000}"/>
    <cellStyle name="pf" xfId="2036" xr:uid="{00000000-0005-0000-0000-0000D0070000}"/>
    <cellStyle name="Porcentagem" xfId="3" builtinId="5"/>
    <cellStyle name="Pound" xfId="2037" xr:uid="{00000000-0005-0000-0000-0000D1070000}"/>
    <cellStyle name="Pound [1]" xfId="2038" xr:uid="{00000000-0005-0000-0000-0000D2070000}"/>
    <cellStyle name="Pound [2]" xfId="2039" xr:uid="{00000000-0005-0000-0000-0000D3070000}"/>
    <cellStyle name="pp" xfId="2040" xr:uid="{00000000-0005-0000-0000-0000D4070000}"/>
    <cellStyle name="ppp" xfId="2041" xr:uid="{00000000-0005-0000-0000-0000D5070000}"/>
    <cellStyle name="PrePop Currency (0)" xfId="2042" xr:uid="{00000000-0005-0000-0000-0000D6070000}"/>
    <cellStyle name="PrePop Currency (2)" xfId="2043" xr:uid="{00000000-0005-0000-0000-0000D7070000}"/>
    <cellStyle name="PrePop Units (0)" xfId="2044" xr:uid="{00000000-0005-0000-0000-0000D8070000}"/>
    <cellStyle name="PrePop Units (1)" xfId="2045" xr:uid="{00000000-0005-0000-0000-0000D9070000}"/>
    <cellStyle name="PrePop Units (2)" xfId="2046" xr:uid="{00000000-0005-0000-0000-0000DA070000}"/>
    <cellStyle name="PSChar" xfId="2047" xr:uid="{00000000-0005-0000-0000-0000DB070000}"/>
    <cellStyle name="PSDate" xfId="2048" xr:uid="{00000000-0005-0000-0000-0000DC070000}"/>
    <cellStyle name="PSDec" xfId="2049" xr:uid="{00000000-0005-0000-0000-0000DD070000}"/>
    <cellStyle name="PSHeading" xfId="2050" xr:uid="{00000000-0005-0000-0000-0000DE070000}"/>
    <cellStyle name="PSInt" xfId="2051" xr:uid="{00000000-0005-0000-0000-0000DF070000}"/>
    <cellStyle name="PSSpacer" xfId="2052" xr:uid="{00000000-0005-0000-0000-0000E0070000}"/>
    <cellStyle name="psum" xfId="2053" xr:uid="{00000000-0005-0000-0000-0000E1070000}"/>
    <cellStyle name="psum 2" xfId="2054" xr:uid="{00000000-0005-0000-0000-0000E2070000}"/>
    <cellStyle name="psumk" xfId="2055" xr:uid="{00000000-0005-0000-0000-0000E3070000}"/>
    <cellStyle name="ptit" xfId="2056" xr:uid="{00000000-0005-0000-0000-0000E4070000}"/>
    <cellStyle name="ptit 2" xfId="2057" xr:uid="{00000000-0005-0000-0000-0000E5070000}"/>
    <cellStyle name="Quarter #" xfId="123" xr:uid="{00000000-0005-0000-0000-0000E6070000}"/>
    <cellStyle name="Quarter # 2" xfId="2058" xr:uid="{00000000-0005-0000-0000-0000E7070000}"/>
    <cellStyle name="Quarter # 2 2" xfId="2059" xr:uid="{00000000-0005-0000-0000-0000E8070000}"/>
    <cellStyle name="Quarter # 2 2 2" xfId="2060" xr:uid="{00000000-0005-0000-0000-0000E9070000}"/>
    <cellStyle name="Quarter # 2 2 2 2" xfId="2061" xr:uid="{00000000-0005-0000-0000-0000EA070000}"/>
    <cellStyle name="Quarter # 2 2 3" xfId="2062" xr:uid="{00000000-0005-0000-0000-0000EB070000}"/>
    <cellStyle name="Quarter # 2 2 4" xfId="2063" xr:uid="{00000000-0005-0000-0000-0000EC070000}"/>
    <cellStyle name="Quarter # 2 3" xfId="2064" xr:uid="{00000000-0005-0000-0000-0000ED070000}"/>
    <cellStyle name="Quarter # 2 3 2" xfId="2065" xr:uid="{00000000-0005-0000-0000-0000EE070000}"/>
    <cellStyle name="Quarter # 2 4" xfId="2066" xr:uid="{00000000-0005-0000-0000-0000EF070000}"/>
    <cellStyle name="Quarter # 2 5" xfId="2067" xr:uid="{00000000-0005-0000-0000-0000F0070000}"/>
    <cellStyle name="Quarter # 3" xfId="2068" xr:uid="{00000000-0005-0000-0000-0000F1070000}"/>
    <cellStyle name="Quarter # 3 2" xfId="2069" xr:uid="{00000000-0005-0000-0000-0000F2070000}"/>
    <cellStyle name="Quarter # 3 2 2" xfId="2070" xr:uid="{00000000-0005-0000-0000-0000F3070000}"/>
    <cellStyle name="Quarter # 3 3" xfId="2071" xr:uid="{00000000-0005-0000-0000-0000F4070000}"/>
    <cellStyle name="Quarter # 3 4" xfId="2072" xr:uid="{00000000-0005-0000-0000-0000F5070000}"/>
    <cellStyle name="Quarter # 4" xfId="2073" xr:uid="{00000000-0005-0000-0000-0000F6070000}"/>
    <cellStyle name="Quarter # 4 2" xfId="2074" xr:uid="{00000000-0005-0000-0000-0000F7070000}"/>
    <cellStyle name="Quarter # 4 2 2" xfId="2075" xr:uid="{00000000-0005-0000-0000-0000F8070000}"/>
    <cellStyle name="Quarter # 4 3" xfId="2076" xr:uid="{00000000-0005-0000-0000-0000F9070000}"/>
    <cellStyle name="Quarter # 4 4" xfId="2077" xr:uid="{00000000-0005-0000-0000-0000FA070000}"/>
    <cellStyle name="Quarter # 5" xfId="2078" xr:uid="{00000000-0005-0000-0000-0000FB070000}"/>
    <cellStyle name="Quarter # 5 2" xfId="2079" xr:uid="{00000000-0005-0000-0000-0000FC070000}"/>
    <cellStyle name="Quarter # 5 2 2" xfId="2080" xr:uid="{00000000-0005-0000-0000-0000FD070000}"/>
    <cellStyle name="Quarter # 5 3" xfId="2081" xr:uid="{00000000-0005-0000-0000-0000FE070000}"/>
    <cellStyle name="Quarter # 5 4" xfId="2082" xr:uid="{00000000-0005-0000-0000-0000FF070000}"/>
    <cellStyle name="Quarter # 6" xfId="2083" xr:uid="{00000000-0005-0000-0000-000000080000}"/>
    <cellStyle name="Quarter # 6 2" xfId="2084" xr:uid="{00000000-0005-0000-0000-000001080000}"/>
    <cellStyle name="Quarter # 7" xfId="2085" xr:uid="{00000000-0005-0000-0000-000002080000}"/>
    <cellStyle name="Quarter # 8" xfId="2086" xr:uid="{00000000-0005-0000-0000-000003080000}"/>
    <cellStyle name="r" xfId="2087" xr:uid="{00000000-0005-0000-0000-000004080000}"/>
    <cellStyle name="Randy" xfId="2088" xr:uid="{00000000-0005-0000-0000-000005080000}"/>
    <cellStyle name="rat" xfId="2089" xr:uid="{00000000-0005-0000-0000-000006080000}"/>
    <cellStyle name="rat 2" xfId="2090" xr:uid="{00000000-0005-0000-0000-000007080000}"/>
    <cellStyle name="rat 3" xfId="2091" xr:uid="{00000000-0005-0000-0000-000008080000}"/>
    <cellStyle name="rate" xfId="2092" xr:uid="{00000000-0005-0000-0000-000009080000}"/>
    <cellStyle name="ratio" xfId="2093" xr:uid="{00000000-0005-0000-0000-00000A080000}"/>
    <cellStyle name="Reg1" xfId="67" xr:uid="{00000000-0005-0000-0000-00000B080000}"/>
    <cellStyle name="Reg2" xfId="68" xr:uid="{00000000-0005-0000-0000-00000C080000}"/>
    <cellStyle name="Reg3" xfId="69" xr:uid="{00000000-0005-0000-0000-00000D080000}"/>
    <cellStyle name="Reg4" xfId="70" xr:uid="{00000000-0005-0000-0000-00000E080000}"/>
    <cellStyle name="Reg5" xfId="71" xr:uid="{00000000-0005-0000-0000-00000F080000}"/>
    <cellStyle name="Reg6" xfId="72" xr:uid="{00000000-0005-0000-0000-000010080000}"/>
    <cellStyle name="Reg7" xfId="73" xr:uid="{00000000-0005-0000-0000-000011080000}"/>
    <cellStyle name="Reg8" xfId="74" xr:uid="{00000000-0005-0000-0000-000012080000}"/>
    <cellStyle name="Reg9" xfId="75" xr:uid="{00000000-0005-0000-0000-000013080000}"/>
    <cellStyle name="Region" xfId="2094" xr:uid="{00000000-0005-0000-0000-000014080000}"/>
    <cellStyle name="regional" xfId="2095" xr:uid="{00000000-0005-0000-0000-000015080000}"/>
    <cellStyle name="s" xfId="2096" xr:uid="{00000000-0005-0000-0000-000016080000}"/>
    <cellStyle name="s_1200 Brickell Trimont Model 2004_09_14" xfId="2097" xr:uid="{00000000-0005-0000-0000-000017080000}"/>
    <cellStyle name="s_Assumptions" xfId="2098" xr:uid="{00000000-0005-0000-0000-000018080000}"/>
    <cellStyle name="s_Assumptions_150 Charles Street model - 2007.12.20 - Valuation v4 Markup" xfId="2099" xr:uid="{00000000-0005-0000-0000-000019080000}"/>
    <cellStyle name="s_Assumptions_150 Charles Street model - 2008.01.31 - Reconciled" xfId="2100" xr:uid="{00000000-0005-0000-0000-00001A080000}"/>
    <cellStyle name="s_Assumptions_Apartment Model" xfId="2101" xr:uid="{00000000-0005-0000-0000-00001B080000}"/>
    <cellStyle name="s_Assumptions_Apartment Model 5.31.08v3" xfId="2102" xr:uid="{00000000-0005-0000-0000-00001C080000}"/>
    <cellStyle name="s_Assumptions_Charles St Model - 2008.09.30" xfId="2103" xr:uid="{00000000-0005-0000-0000-00001D080000}"/>
    <cellStyle name="s_Assumptions_Ridge Asset Managment Model 5.31.08v3" xfId="2104" xr:uid="{00000000-0005-0000-0000-00001E080000}"/>
    <cellStyle name="s_Assumptions_Ridge Asset Managment Model 7.31.08" xfId="2105" xr:uid="{00000000-0005-0000-0000-00001F080000}"/>
    <cellStyle name="s_Assumptions_Ridge Asset Managment Model Q1 Valuations" xfId="2106" xr:uid="{00000000-0005-0000-0000-000020080000}"/>
    <cellStyle name="s_Assumptions_Ridge Asset Managment Model Q2 Valuation" xfId="2107" xr:uid="{00000000-0005-0000-0000-000021080000}"/>
    <cellStyle name="s_Assumptions_Sheraton Tampa AM Model 112805" xfId="2108" xr:uid="{00000000-0005-0000-0000-000022080000}"/>
    <cellStyle name="s_Assumptions_Sheraton Tampa AM Model 112805_150 Charles Street model - 2007.12.20 - Valuation v4 Markup" xfId="2109" xr:uid="{00000000-0005-0000-0000-000023080000}"/>
    <cellStyle name="s_Assumptions_Sheraton Tampa AM Model 112805_150 Charles Street model - 2008.01.31 - Reconciled" xfId="2110" xr:uid="{00000000-0005-0000-0000-000024080000}"/>
    <cellStyle name="s_Assumptions_Sheraton Tampa AM Model 112805_Apartment Model" xfId="2111" xr:uid="{00000000-0005-0000-0000-000025080000}"/>
    <cellStyle name="s_Assumptions_Sheraton Tampa AM Model 112805_Apartment Model 5.31.08v3" xfId="2112" xr:uid="{00000000-0005-0000-0000-000026080000}"/>
    <cellStyle name="s_Assumptions_Sheraton Tampa AM Model 112805_Charles St Model - 2008.09.30" xfId="2113" xr:uid="{00000000-0005-0000-0000-000027080000}"/>
    <cellStyle name="s_Assumptions_Sheraton Tampa AM Model 112805_Ridge Asset Managment Model 5.31.08v3" xfId="2114" xr:uid="{00000000-0005-0000-0000-000028080000}"/>
    <cellStyle name="s_Assumptions_Sheraton Tampa AM Model 112805_Ridge Asset Managment Model 7.31.08" xfId="2115" xr:uid="{00000000-0005-0000-0000-000029080000}"/>
    <cellStyle name="s_Assumptions_Sheraton Tampa AM Model 112805_Ridge Asset Managment Model Q1 Valuations" xfId="2116" xr:uid="{00000000-0005-0000-0000-00002A080000}"/>
    <cellStyle name="s_Assumptions_Sheraton Tampa AM Model 112805_Ridge Asset Managment Model Q2 Valuation" xfId="2117" xr:uid="{00000000-0005-0000-0000-00002B080000}"/>
    <cellStyle name="s_Assumptions_Sheraton Tampa AM Model 112805_Trimont Asset Management Model V1" xfId="2118" xr:uid="{00000000-0005-0000-0000-00002C080000}"/>
    <cellStyle name="s_Assumptions_Sheraton Tampa AM Model 112805_Trimont Asset Management Model V2" xfId="2119" xr:uid="{00000000-0005-0000-0000-00002D080000}"/>
    <cellStyle name="s_Assumptions_Sheraton Tampa AM Model 112805_Valuation Summary New Format wCapRateSensitivity v5" xfId="2120" xr:uid="{00000000-0005-0000-0000-00002E080000}"/>
    <cellStyle name="s_Assumptions_Sheraton Tampa AM Model 112805_Valuation Template Non Operaating Deal 06.12.08" xfId="2121" xr:uid="{00000000-0005-0000-0000-00002F080000}"/>
    <cellStyle name="s_Assumptions_Sheraton Tampa AM Model 112805_Valuation Template Operating Deal 06.10.08" xfId="2122" xr:uid="{00000000-0005-0000-0000-000030080000}"/>
    <cellStyle name="s_Assumptions_SOSJ AM Model (w 06 Budget &amp; refi) 2-16-06" xfId="2123" xr:uid="{00000000-0005-0000-0000-000031080000}"/>
    <cellStyle name="s_Assumptions_Trimont Asset Management Model V1" xfId="2124" xr:uid="{00000000-0005-0000-0000-000032080000}"/>
    <cellStyle name="s_Assumptions_Trimont Asset Management Model V2" xfId="2125" xr:uid="{00000000-0005-0000-0000-000033080000}"/>
    <cellStyle name="s_Assumptions_Valuation Summary New Format wCapRateSensitivity v5" xfId="2126" xr:uid="{00000000-0005-0000-0000-000034080000}"/>
    <cellStyle name="s_Assumptions_Valuation Template Non Operaating Deal 06.12.08" xfId="2127" xr:uid="{00000000-0005-0000-0000-000035080000}"/>
    <cellStyle name="s_Assumptions_Valuation Template Operating Deal 06.10.08" xfId="2128" xr:uid="{00000000-0005-0000-0000-000036080000}"/>
    <cellStyle name="s_B_S_Ratios _B" xfId="2129" xr:uid="{00000000-0005-0000-0000-000037080000}"/>
    <cellStyle name="s_B_S_Ratios _B_150 Charles Street model - 2007.12.20 - Valuation v4 Markup" xfId="2130" xr:uid="{00000000-0005-0000-0000-000038080000}"/>
    <cellStyle name="s_B_S_Ratios _B_150 Charles Street model - 2008.01.31 - Reconciled" xfId="2131" xr:uid="{00000000-0005-0000-0000-000039080000}"/>
    <cellStyle name="s_B_S_Ratios _B_Apartment Model" xfId="2132" xr:uid="{00000000-0005-0000-0000-00003A080000}"/>
    <cellStyle name="s_B_S_Ratios _B_Apartment Model 5.31.08v3" xfId="2133" xr:uid="{00000000-0005-0000-0000-00003B080000}"/>
    <cellStyle name="s_B_S_Ratios _B_Charles St Model - 2008.09.30" xfId="2134" xr:uid="{00000000-0005-0000-0000-00003C080000}"/>
    <cellStyle name="s_B_S_Ratios _B_Ridge Asset Managment Model 5.31.08v3" xfId="2135" xr:uid="{00000000-0005-0000-0000-00003D080000}"/>
    <cellStyle name="s_B_S_Ratios _B_Ridge Asset Managment Model 7.31.08" xfId="2136" xr:uid="{00000000-0005-0000-0000-00003E080000}"/>
    <cellStyle name="s_B_S_Ratios _B_Ridge Asset Managment Model Q1 Valuations" xfId="2137" xr:uid="{00000000-0005-0000-0000-00003F080000}"/>
    <cellStyle name="s_B_S_Ratios _B_Ridge Asset Managment Model Q2 Valuation" xfId="2138" xr:uid="{00000000-0005-0000-0000-000040080000}"/>
    <cellStyle name="s_B_S_Ratios _B_Sheraton Tampa AM Model 112805" xfId="2139" xr:uid="{00000000-0005-0000-0000-000041080000}"/>
    <cellStyle name="s_B_S_Ratios _B_Sheraton Tampa AM Model 112805_150 Charles Street model - 2007.12.20 - Valuation v4 Markup" xfId="2140" xr:uid="{00000000-0005-0000-0000-000042080000}"/>
    <cellStyle name="s_B_S_Ratios _B_Sheraton Tampa AM Model 112805_150 Charles Street model - 2008.01.31 - Reconciled" xfId="2141" xr:uid="{00000000-0005-0000-0000-000043080000}"/>
    <cellStyle name="s_B_S_Ratios _B_Sheraton Tampa AM Model 112805_Apartment Model" xfId="2142" xr:uid="{00000000-0005-0000-0000-000044080000}"/>
    <cellStyle name="s_B_S_Ratios _B_Sheraton Tampa AM Model 112805_Apartment Model 5.31.08v3" xfId="2143" xr:uid="{00000000-0005-0000-0000-000045080000}"/>
    <cellStyle name="s_B_S_Ratios _B_Sheraton Tampa AM Model 112805_Charles St Model - 2008.09.30" xfId="2144" xr:uid="{00000000-0005-0000-0000-000046080000}"/>
    <cellStyle name="s_B_S_Ratios _B_Sheraton Tampa AM Model 112805_Ridge Asset Managment Model 5.31.08v3" xfId="2145" xr:uid="{00000000-0005-0000-0000-000047080000}"/>
    <cellStyle name="s_B_S_Ratios _B_Sheraton Tampa AM Model 112805_Ridge Asset Managment Model 7.31.08" xfId="2146" xr:uid="{00000000-0005-0000-0000-000048080000}"/>
    <cellStyle name="s_B_S_Ratios _B_Sheraton Tampa AM Model 112805_Ridge Asset Managment Model Q1 Valuations" xfId="2147" xr:uid="{00000000-0005-0000-0000-000049080000}"/>
    <cellStyle name="s_B_S_Ratios _B_Sheraton Tampa AM Model 112805_Ridge Asset Managment Model Q2 Valuation" xfId="2148" xr:uid="{00000000-0005-0000-0000-00004A080000}"/>
    <cellStyle name="s_B_S_Ratios _B_Sheraton Tampa AM Model 112805_Trimont Asset Management Model V1" xfId="2149" xr:uid="{00000000-0005-0000-0000-00004B080000}"/>
    <cellStyle name="s_B_S_Ratios _B_Sheraton Tampa AM Model 112805_Trimont Asset Management Model V2" xfId="2150" xr:uid="{00000000-0005-0000-0000-00004C080000}"/>
    <cellStyle name="s_B_S_Ratios _B_Sheraton Tampa AM Model 112805_Valuation Summary New Format wCapRateSensitivity v5" xfId="2151" xr:uid="{00000000-0005-0000-0000-00004D080000}"/>
    <cellStyle name="s_B_S_Ratios _B_Sheraton Tampa AM Model 112805_Valuation Template Non Operaating Deal 06.12.08" xfId="2152" xr:uid="{00000000-0005-0000-0000-00004E080000}"/>
    <cellStyle name="s_B_S_Ratios _B_Sheraton Tampa AM Model 112805_Valuation Template Operating Deal 06.10.08" xfId="2153" xr:uid="{00000000-0005-0000-0000-00004F080000}"/>
    <cellStyle name="s_B_S_Ratios _B_SOSJ AM Model (w 06 Budget &amp; refi) 2-16-06" xfId="2154" xr:uid="{00000000-0005-0000-0000-000050080000}"/>
    <cellStyle name="s_B_S_Ratios _B_Trimont Asset Management Model V1" xfId="2155" xr:uid="{00000000-0005-0000-0000-000051080000}"/>
    <cellStyle name="s_B_S_Ratios _B_Trimont Asset Management Model V2" xfId="2156" xr:uid="{00000000-0005-0000-0000-000052080000}"/>
    <cellStyle name="s_B_S_Ratios _B_Valuation Summary New Format wCapRateSensitivity v5" xfId="2157" xr:uid="{00000000-0005-0000-0000-000053080000}"/>
    <cellStyle name="s_B_S_Ratios _B_Valuation Template Non Operaating Deal 06.12.08" xfId="2158" xr:uid="{00000000-0005-0000-0000-000054080000}"/>
    <cellStyle name="s_B_S_Ratios _B_Valuation Template Operating Deal 06.10.08" xfId="2159" xr:uid="{00000000-0005-0000-0000-000055080000}"/>
    <cellStyle name="s_B_S_Ratios_T" xfId="2160" xr:uid="{00000000-0005-0000-0000-000056080000}"/>
    <cellStyle name="s_B_S_Ratios_T_150 Charles Street model - 2007.12.20 - Valuation v4 Markup" xfId="2161" xr:uid="{00000000-0005-0000-0000-000057080000}"/>
    <cellStyle name="s_B_S_Ratios_T_150 Charles Street model - 2008.01.31 - Reconciled" xfId="2162" xr:uid="{00000000-0005-0000-0000-000058080000}"/>
    <cellStyle name="s_B_S_Ratios_T_Apartment Model" xfId="2163" xr:uid="{00000000-0005-0000-0000-000059080000}"/>
    <cellStyle name="s_B_S_Ratios_T_Apartment Model 5.31.08v3" xfId="2164" xr:uid="{00000000-0005-0000-0000-00005A080000}"/>
    <cellStyle name="s_B_S_Ratios_T_Charles St Model - 2008.09.30" xfId="2165" xr:uid="{00000000-0005-0000-0000-00005B080000}"/>
    <cellStyle name="s_B_S_Ratios_T_Ridge Asset Managment Model 5.31.08v3" xfId="2166" xr:uid="{00000000-0005-0000-0000-00005C080000}"/>
    <cellStyle name="s_B_S_Ratios_T_Ridge Asset Managment Model 7.31.08" xfId="2167" xr:uid="{00000000-0005-0000-0000-00005D080000}"/>
    <cellStyle name="s_B_S_Ratios_T_Ridge Asset Managment Model Q1 Valuations" xfId="2168" xr:uid="{00000000-0005-0000-0000-00005E080000}"/>
    <cellStyle name="s_B_S_Ratios_T_Ridge Asset Managment Model Q2 Valuation" xfId="2169" xr:uid="{00000000-0005-0000-0000-00005F080000}"/>
    <cellStyle name="s_B_S_Ratios_T_Sheraton Tampa AM Model 112805" xfId="2170" xr:uid="{00000000-0005-0000-0000-000060080000}"/>
    <cellStyle name="s_B_S_Ratios_T_Sheraton Tampa AM Model 112805_150 Charles Street model - 2007.12.20 - Valuation v4 Markup" xfId="2171" xr:uid="{00000000-0005-0000-0000-000061080000}"/>
    <cellStyle name="s_B_S_Ratios_T_Sheraton Tampa AM Model 112805_150 Charles Street model - 2008.01.31 - Reconciled" xfId="2172" xr:uid="{00000000-0005-0000-0000-000062080000}"/>
    <cellStyle name="s_B_S_Ratios_T_Sheraton Tampa AM Model 112805_Apartment Model" xfId="2173" xr:uid="{00000000-0005-0000-0000-000063080000}"/>
    <cellStyle name="s_B_S_Ratios_T_Sheraton Tampa AM Model 112805_Apartment Model 5.31.08v3" xfId="2174" xr:uid="{00000000-0005-0000-0000-000064080000}"/>
    <cellStyle name="s_B_S_Ratios_T_Sheraton Tampa AM Model 112805_Charles St Model - 2008.09.30" xfId="2175" xr:uid="{00000000-0005-0000-0000-000065080000}"/>
    <cellStyle name="s_B_S_Ratios_T_Sheraton Tampa AM Model 112805_Ridge Asset Managment Model 5.31.08v3" xfId="2176" xr:uid="{00000000-0005-0000-0000-000066080000}"/>
    <cellStyle name="s_B_S_Ratios_T_Sheraton Tampa AM Model 112805_Ridge Asset Managment Model 7.31.08" xfId="2177" xr:uid="{00000000-0005-0000-0000-000067080000}"/>
    <cellStyle name="s_B_S_Ratios_T_Sheraton Tampa AM Model 112805_Ridge Asset Managment Model Q1 Valuations" xfId="2178" xr:uid="{00000000-0005-0000-0000-000068080000}"/>
    <cellStyle name="s_B_S_Ratios_T_Sheraton Tampa AM Model 112805_Ridge Asset Managment Model Q2 Valuation" xfId="2179" xr:uid="{00000000-0005-0000-0000-000069080000}"/>
    <cellStyle name="s_B_S_Ratios_T_Sheraton Tampa AM Model 112805_Trimont Asset Management Model V1" xfId="2180" xr:uid="{00000000-0005-0000-0000-00006A080000}"/>
    <cellStyle name="s_B_S_Ratios_T_Sheraton Tampa AM Model 112805_Trimont Asset Management Model V2" xfId="2181" xr:uid="{00000000-0005-0000-0000-00006B080000}"/>
    <cellStyle name="s_B_S_Ratios_T_Sheraton Tampa AM Model 112805_Valuation Summary New Format wCapRateSensitivity v5" xfId="2182" xr:uid="{00000000-0005-0000-0000-00006C080000}"/>
    <cellStyle name="s_B_S_Ratios_T_Sheraton Tampa AM Model 112805_Valuation Template Non Operaating Deal 06.12.08" xfId="2183" xr:uid="{00000000-0005-0000-0000-00006D080000}"/>
    <cellStyle name="s_B_S_Ratios_T_Sheraton Tampa AM Model 112805_Valuation Template Operating Deal 06.10.08" xfId="2184" xr:uid="{00000000-0005-0000-0000-00006E080000}"/>
    <cellStyle name="s_B_S_Ratios_T_SOSJ AM Model (w 06 Budget &amp; refi) 2-16-06" xfId="2185" xr:uid="{00000000-0005-0000-0000-00006F080000}"/>
    <cellStyle name="s_B_S_Ratios_T_Trimont Asset Management Model V1" xfId="2186" xr:uid="{00000000-0005-0000-0000-000070080000}"/>
    <cellStyle name="s_B_S_Ratios_T_Trimont Asset Management Model V2" xfId="2187" xr:uid="{00000000-0005-0000-0000-000071080000}"/>
    <cellStyle name="s_B_S_Ratios_T_Valuation Summary New Format wCapRateSensitivity v5" xfId="2188" xr:uid="{00000000-0005-0000-0000-000072080000}"/>
    <cellStyle name="s_B_S_Ratios_T_Valuation Template Non Operaating Deal 06.12.08" xfId="2189" xr:uid="{00000000-0005-0000-0000-000073080000}"/>
    <cellStyle name="s_B_S_Ratios_T_Valuation Template Operating Deal 06.10.08" xfId="2190" xr:uid="{00000000-0005-0000-0000-000074080000}"/>
    <cellStyle name="s_DCFLBO Code" xfId="2191" xr:uid="{00000000-0005-0000-0000-000075080000}"/>
    <cellStyle name="s_DCFLBO Code_1" xfId="2192" xr:uid="{00000000-0005-0000-0000-000076080000}"/>
    <cellStyle name="s_DCFLBO Code_1_150 Charles Street model - 2007.12.20 - Valuation v4 Markup" xfId="2193" xr:uid="{00000000-0005-0000-0000-000077080000}"/>
    <cellStyle name="s_DCFLBO Code_1_150 Charles Street model - 2008.01.31 - Reconciled" xfId="2194" xr:uid="{00000000-0005-0000-0000-000078080000}"/>
    <cellStyle name="s_DCFLBO Code_1_Apartment Model" xfId="2195" xr:uid="{00000000-0005-0000-0000-000079080000}"/>
    <cellStyle name="s_DCFLBO Code_1_Apartment Model 5.31.08v3" xfId="2196" xr:uid="{00000000-0005-0000-0000-00007A080000}"/>
    <cellStyle name="s_DCFLBO Code_1_Charles St Model - 2008.09.30" xfId="2197" xr:uid="{00000000-0005-0000-0000-00007B080000}"/>
    <cellStyle name="s_DCFLBO Code_1_Ridge Asset Managment Model 5.31.08v3" xfId="2198" xr:uid="{00000000-0005-0000-0000-00007C080000}"/>
    <cellStyle name="s_DCFLBO Code_1_Ridge Asset Managment Model 7.31.08" xfId="2199" xr:uid="{00000000-0005-0000-0000-00007D080000}"/>
    <cellStyle name="s_DCFLBO Code_1_Ridge Asset Managment Model Q1 Valuations" xfId="2200" xr:uid="{00000000-0005-0000-0000-00007E080000}"/>
    <cellStyle name="s_DCFLBO Code_1_Ridge Asset Managment Model Q2 Valuation" xfId="2201" xr:uid="{00000000-0005-0000-0000-00007F080000}"/>
    <cellStyle name="s_DCFLBO Code_1_Sheraton Tampa AM Model 112805" xfId="2202" xr:uid="{00000000-0005-0000-0000-000080080000}"/>
    <cellStyle name="s_DCFLBO Code_1_Sheraton Tampa AM Model 112805_150 Charles Street model - 2007.12.20 - Valuation v4 Markup" xfId="2203" xr:uid="{00000000-0005-0000-0000-000081080000}"/>
    <cellStyle name="s_DCFLBO Code_1_Sheraton Tampa AM Model 112805_150 Charles Street model - 2008.01.31 - Reconciled" xfId="2204" xr:uid="{00000000-0005-0000-0000-000082080000}"/>
    <cellStyle name="s_DCFLBO Code_1_Sheraton Tampa AM Model 112805_Apartment Model" xfId="2205" xr:uid="{00000000-0005-0000-0000-000083080000}"/>
    <cellStyle name="s_DCFLBO Code_1_Sheraton Tampa AM Model 112805_Apartment Model 5.31.08v3" xfId="2206" xr:uid="{00000000-0005-0000-0000-000084080000}"/>
    <cellStyle name="s_DCFLBO Code_1_Sheraton Tampa AM Model 112805_Charles St Model - 2008.09.30" xfId="2207" xr:uid="{00000000-0005-0000-0000-000085080000}"/>
    <cellStyle name="s_DCFLBO Code_1_Sheraton Tampa AM Model 112805_Ridge Asset Managment Model 5.31.08v3" xfId="2208" xr:uid="{00000000-0005-0000-0000-000086080000}"/>
    <cellStyle name="s_DCFLBO Code_1_Sheraton Tampa AM Model 112805_Ridge Asset Managment Model 7.31.08" xfId="2209" xr:uid="{00000000-0005-0000-0000-000087080000}"/>
    <cellStyle name="s_DCFLBO Code_1_Sheraton Tampa AM Model 112805_Ridge Asset Managment Model Q1 Valuations" xfId="2210" xr:uid="{00000000-0005-0000-0000-000088080000}"/>
    <cellStyle name="s_DCFLBO Code_1_Sheraton Tampa AM Model 112805_Ridge Asset Managment Model Q2 Valuation" xfId="2211" xr:uid="{00000000-0005-0000-0000-000089080000}"/>
    <cellStyle name="s_DCFLBO Code_1_Sheraton Tampa AM Model 112805_Trimont Asset Management Model V1" xfId="2212" xr:uid="{00000000-0005-0000-0000-00008A080000}"/>
    <cellStyle name="s_DCFLBO Code_1_Sheraton Tampa AM Model 112805_Trimont Asset Management Model V2" xfId="2213" xr:uid="{00000000-0005-0000-0000-00008B080000}"/>
    <cellStyle name="s_DCFLBO Code_1_Sheraton Tampa AM Model 112805_Valuation Summary New Format wCapRateSensitivity v5" xfId="2214" xr:uid="{00000000-0005-0000-0000-00008C080000}"/>
    <cellStyle name="s_DCFLBO Code_1_Sheraton Tampa AM Model 112805_Valuation Template Non Operaating Deal 06.12.08" xfId="2215" xr:uid="{00000000-0005-0000-0000-00008D080000}"/>
    <cellStyle name="s_DCFLBO Code_1_Sheraton Tampa AM Model 112805_Valuation Template Operating Deal 06.10.08" xfId="2216" xr:uid="{00000000-0005-0000-0000-00008E080000}"/>
    <cellStyle name="s_DCFLBO Code_1_SOSJ AM Model (w 06 Budget &amp; refi) 2-16-06" xfId="2217" xr:uid="{00000000-0005-0000-0000-00008F080000}"/>
    <cellStyle name="s_DCFLBO Code_1_Trimont Asset Management Model V1" xfId="2218" xr:uid="{00000000-0005-0000-0000-000090080000}"/>
    <cellStyle name="s_DCFLBO Code_1_Trimont Asset Management Model V2" xfId="2219" xr:uid="{00000000-0005-0000-0000-000091080000}"/>
    <cellStyle name="s_DCFLBO Code_1_Valuation Summary New Format wCapRateSensitivity v5" xfId="2220" xr:uid="{00000000-0005-0000-0000-000092080000}"/>
    <cellStyle name="s_DCFLBO Code_1_Valuation Template Non Operaating Deal 06.12.08" xfId="2221" xr:uid="{00000000-0005-0000-0000-000093080000}"/>
    <cellStyle name="s_DCFLBO Code_1_Valuation Template Operating Deal 06.10.08" xfId="2222" xr:uid="{00000000-0005-0000-0000-000094080000}"/>
    <cellStyle name="s_DCFLBO Code_150 Charles Street model - 2007.12.20 - Valuation v4 Markup" xfId="2223" xr:uid="{00000000-0005-0000-0000-000095080000}"/>
    <cellStyle name="s_DCFLBO Code_150 Charles Street model - 2008.01.31 - Reconciled" xfId="2224" xr:uid="{00000000-0005-0000-0000-000096080000}"/>
    <cellStyle name="s_DCFLBO Code_Apartment Model" xfId="2225" xr:uid="{00000000-0005-0000-0000-000097080000}"/>
    <cellStyle name="s_DCFLBO Code_Apartment Model 5.31.08v3" xfId="2226" xr:uid="{00000000-0005-0000-0000-000098080000}"/>
    <cellStyle name="s_DCFLBO Code_Charles St Model - 2008.09.30" xfId="2227" xr:uid="{00000000-0005-0000-0000-000099080000}"/>
    <cellStyle name="s_DCFLBO Code_Ridge Asset Managment Model 5.31.08v3" xfId="2228" xr:uid="{00000000-0005-0000-0000-00009A080000}"/>
    <cellStyle name="s_DCFLBO Code_Ridge Asset Managment Model 7.31.08" xfId="2229" xr:uid="{00000000-0005-0000-0000-00009B080000}"/>
    <cellStyle name="s_DCFLBO Code_Ridge Asset Managment Model Q1 Valuations" xfId="2230" xr:uid="{00000000-0005-0000-0000-00009C080000}"/>
    <cellStyle name="s_DCFLBO Code_Ridge Asset Managment Model Q2 Valuation" xfId="2231" xr:uid="{00000000-0005-0000-0000-00009D080000}"/>
    <cellStyle name="s_DCFLBO Code_Sheraton Tampa AM Model 112805" xfId="2232" xr:uid="{00000000-0005-0000-0000-00009E080000}"/>
    <cellStyle name="s_DCFLBO Code_Sheraton Tampa AM Model 112805_150 Charles Street model - 2007.12.20 - Valuation v4 Markup" xfId="2233" xr:uid="{00000000-0005-0000-0000-00009F080000}"/>
    <cellStyle name="s_DCFLBO Code_Sheraton Tampa AM Model 112805_150 Charles Street model - 2008.01.31 - Reconciled" xfId="2234" xr:uid="{00000000-0005-0000-0000-0000A0080000}"/>
    <cellStyle name="s_DCFLBO Code_Sheraton Tampa AM Model 112805_Apartment Model" xfId="2235" xr:uid="{00000000-0005-0000-0000-0000A1080000}"/>
    <cellStyle name="s_DCFLBO Code_Sheraton Tampa AM Model 112805_Apartment Model 5.31.08v3" xfId="2236" xr:uid="{00000000-0005-0000-0000-0000A2080000}"/>
    <cellStyle name="s_DCFLBO Code_Sheraton Tampa AM Model 112805_Charles St Model - 2008.09.30" xfId="2237" xr:uid="{00000000-0005-0000-0000-0000A3080000}"/>
    <cellStyle name="s_DCFLBO Code_Sheraton Tampa AM Model 112805_Ridge Asset Managment Model 5.31.08v3" xfId="2238" xr:uid="{00000000-0005-0000-0000-0000A4080000}"/>
    <cellStyle name="s_DCFLBO Code_Sheraton Tampa AM Model 112805_Ridge Asset Managment Model 7.31.08" xfId="2239" xr:uid="{00000000-0005-0000-0000-0000A5080000}"/>
    <cellStyle name="s_DCFLBO Code_Sheraton Tampa AM Model 112805_Ridge Asset Managment Model Q1 Valuations" xfId="2240" xr:uid="{00000000-0005-0000-0000-0000A6080000}"/>
    <cellStyle name="s_DCFLBO Code_Sheraton Tampa AM Model 112805_Ridge Asset Managment Model Q2 Valuation" xfId="2241" xr:uid="{00000000-0005-0000-0000-0000A7080000}"/>
    <cellStyle name="s_DCFLBO Code_Sheraton Tampa AM Model 112805_Trimont Asset Management Model V1" xfId="2242" xr:uid="{00000000-0005-0000-0000-0000A8080000}"/>
    <cellStyle name="s_DCFLBO Code_Sheraton Tampa AM Model 112805_Trimont Asset Management Model V2" xfId="2243" xr:uid="{00000000-0005-0000-0000-0000A9080000}"/>
    <cellStyle name="s_DCFLBO Code_Sheraton Tampa AM Model 112805_Valuation Summary New Format wCapRateSensitivity v5" xfId="2244" xr:uid="{00000000-0005-0000-0000-0000AA080000}"/>
    <cellStyle name="s_DCFLBO Code_Sheraton Tampa AM Model 112805_Valuation Template Non Operaating Deal 06.12.08" xfId="2245" xr:uid="{00000000-0005-0000-0000-0000AB080000}"/>
    <cellStyle name="s_DCFLBO Code_Sheraton Tampa AM Model 112805_Valuation Template Operating Deal 06.10.08" xfId="2246" xr:uid="{00000000-0005-0000-0000-0000AC080000}"/>
    <cellStyle name="s_DCFLBO Code_SOSJ AM Model (w 06 Budget &amp; refi) 2-16-06" xfId="2247" xr:uid="{00000000-0005-0000-0000-0000AD080000}"/>
    <cellStyle name="s_DCFLBO Code_Trimont Asset Management Model V1" xfId="2248" xr:uid="{00000000-0005-0000-0000-0000AE080000}"/>
    <cellStyle name="s_DCFLBO Code_Trimont Asset Management Model V2" xfId="2249" xr:uid="{00000000-0005-0000-0000-0000AF080000}"/>
    <cellStyle name="s_DCFLBO Code_Valuation Summary New Format wCapRateSensitivity v5" xfId="2250" xr:uid="{00000000-0005-0000-0000-0000B0080000}"/>
    <cellStyle name="s_DCFLBO Code_Valuation Template Non Operaating Deal 06.12.08" xfId="2251" xr:uid="{00000000-0005-0000-0000-0000B1080000}"/>
    <cellStyle name="s_DCFLBO Code_Valuation Template Operating Deal 06.10.08" xfId="2252" xr:uid="{00000000-0005-0000-0000-0000B2080000}"/>
    <cellStyle name="s_Dilution" xfId="2253" xr:uid="{00000000-0005-0000-0000-0000B3080000}"/>
    <cellStyle name="s_Dilution_150 Charles Street model - 2007.12.20 - Valuation v4 Markup" xfId="2254" xr:uid="{00000000-0005-0000-0000-0000B4080000}"/>
    <cellStyle name="s_Dilution_150 Charles Street model - 2008.01.31 - Reconciled" xfId="2255" xr:uid="{00000000-0005-0000-0000-0000B5080000}"/>
    <cellStyle name="s_Dilution_Apartment Model" xfId="2256" xr:uid="{00000000-0005-0000-0000-0000B6080000}"/>
    <cellStyle name="s_Dilution_Apartment Model 5.31.08v3" xfId="2257" xr:uid="{00000000-0005-0000-0000-0000B7080000}"/>
    <cellStyle name="s_Dilution_Charles St Model - 2008.09.30" xfId="2258" xr:uid="{00000000-0005-0000-0000-0000B8080000}"/>
    <cellStyle name="s_Dilution_Ridge Asset Managment Model 5.31.08v3" xfId="2259" xr:uid="{00000000-0005-0000-0000-0000B9080000}"/>
    <cellStyle name="s_Dilution_Ridge Asset Managment Model 7.31.08" xfId="2260" xr:uid="{00000000-0005-0000-0000-0000BA080000}"/>
    <cellStyle name="s_Dilution_Ridge Asset Managment Model Q1 Valuations" xfId="2261" xr:uid="{00000000-0005-0000-0000-0000BB080000}"/>
    <cellStyle name="s_Dilution_Ridge Asset Managment Model Q2 Valuation" xfId="2262" xr:uid="{00000000-0005-0000-0000-0000BC080000}"/>
    <cellStyle name="s_Dilution_Sheraton Tampa AM Model 112805" xfId="2263" xr:uid="{00000000-0005-0000-0000-0000BD080000}"/>
    <cellStyle name="s_Dilution_Sheraton Tampa AM Model 112805_150 Charles Street model - 2007.12.20 - Valuation v4 Markup" xfId="2264" xr:uid="{00000000-0005-0000-0000-0000BE080000}"/>
    <cellStyle name="s_Dilution_Sheraton Tampa AM Model 112805_150 Charles Street model - 2008.01.31 - Reconciled" xfId="2265" xr:uid="{00000000-0005-0000-0000-0000BF080000}"/>
    <cellStyle name="s_Dilution_Sheraton Tampa AM Model 112805_Apartment Model" xfId="2266" xr:uid="{00000000-0005-0000-0000-0000C0080000}"/>
    <cellStyle name="s_Dilution_Sheraton Tampa AM Model 112805_Apartment Model 5.31.08v3" xfId="2267" xr:uid="{00000000-0005-0000-0000-0000C1080000}"/>
    <cellStyle name="s_Dilution_Sheraton Tampa AM Model 112805_Charles St Model - 2008.09.30" xfId="2268" xr:uid="{00000000-0005-0000-0000-0000C2080000}"/>
    <cellStyle name="s_Dilution_Sheraton Tampa AM Model 112805_Ridge Asset Managment Model 5.31.08v3" xfId="2269" xr:uid="{00000000-0005-0000-0000-0000C3080000}"/>
    <cellStyle name="s_Dilution_Sheraton Tampa AM Model 112805_Ridge Asset Managment Model 7.31.08" xfId="2270" xr:uid="{00000000-0005-0000-0000-0000C4080000}"/>
    <cellStyle name="s_Dilution_Sheraton Tampa AM Model 112805_Ridge Asset Managment Model Q1 Valuations" xfId="2271" xr:uid="{00000000-0005-0000-0000-0000C5080000}"/>
    <cellStyle name="s_Dilution_Sheraton Tampa AM Model 112805_Ridge Asset Managment Model Q2 Valuation" xfId="2272" xr:uid="{00000000-0005-0000-0000-0000C6080000}"/>
    <cellStyle name="s_Dilution_Sheraton Tampa AM Model 112805_Trimont Asset Management Model V1" xfId="2273" xr:uid="{00000000-0005-0000-0000-0000C7080000}"/>
    <cellStyle name="s_Dilution_Sheraton Tampa AM Model 112805_Trimont Asset Management Model V2" xfId="2274" xr:uid="{00000000-0005-0000-0000-0000C8080000}"/>
    <cellStyle name="s_Dilution_Sheraton Tampa AM Model 112805_Valuation Summary New Format wCapRateSensitivity v5" xfId="2275" xr:uid="{00000000-0005-0000-0000-0000C9080000}"/>
    <cellStyle name="s_Dilution_Sheraton Tampa AM Model 112805_Valuation Template Non Operaating Deal 06.12.08" xfId="2276" xr:uid="{00000000-0005-0000-0000-0000CA080000}"/>
    <cellStyle name="s_Dilution_Sheraton Tampa AM Model 112805_Valuation Template Operating Deal 06.10.08" xfId="2277" xr:uid="{00000000-0005-0000-0000-0000CB080000}"/>
    <cellStyle name="s_Dilution_SOSJ AM Model (w 06 Budget &amp; refi) 2-16-06" xfId="2278" xr:uid="{00000000-0005-0000-0000-0000CC080000}"/>
    <cellStyle name="s_Dilution_Trimont Asset Management Model V1" xfId="2279" xr:uid="{00000000-0005-0000-0000-0000CD080000}"/>
    <cellStyle name="s_Dilution_Trimont Asset Management Model V2" xfId="2280" xr:uid="{00000000-0005-0000-0000-0000CE080000}"/>
    <cellStyle name="s_Dilution_Valuation Summary New Format wCapRateSensitivity v5" xfId="2281" xr:uid="{00000000-0005-0000-0000-0000CF080000}"/>
    <cellStyle name="s_Dilution_Valuation Template Non Operaating Deal 06.12.08" xfId="2282" xr:uid="{00000000-0005-0000-0000-0000D0080000}"/>
    <cellStyle name="s_Dilution_Valuation Template Operating Deal 06.10.08" xfId="2283" xr:uid="{00000000-0005-0000-0000-0000D1080000}"/>
    <cellStyle name="s_Downey Charts" xfId="2284" xr:uid="{00000000-0005-0000-0000-0000D2080000}"/>
    <cellStyle name="s_Downey Charts_150 Charles Street model - 2007.12.20 - Valuation v4 Markup" xfId="2285" xr:uid="{00000000-0005-0000-0000-0000D3080000}"/>
    <cellStyle name="s_Downey Charts_150 Charles Street model - 2008.01.31 - Reconciled" xfId="2286" xr:uid="{00000000-0005-0000-0000-0000D4080000}"/>
    <cellStyle name="s_Downey Charts_Apartment Model" xfId="2287" xr:uid="{00000000-0005-0000-0000-0000D5080000}"/>
    <cellStyle name="s_Downey Charts_Apartment Model 5.31.08v3" xfId="2288" xr:uid="{00000000-0005-0000-0000-0000D6080000}"/>
    <cellStyle name="s_Downey Charts_Charles St Model - 2008.09.30" xfId="2289" xr:uid="{00000000-0005-0000-0000-0000D7080000}"/>
    <cellStyle name="s_Downey Charts_Ridge Asset Managment Model 5.31.08v3" xfId="2290" xr:uid="{00000000-0005-0000-0000-0000D8080000}"/>
    <cellStyle name="s_Downey Charts_Ridge Asset Managment Model 7.31.08" xfId="2291" xr:uid="{00000000-0005-0000-0000-0000D9080000}"/>
    <cellStyle name="s_Downey Charts_Ridge Asset Managment Model Q1 Valuations" xfId="2292" xr:uid="{00000000-0005-0000-0000-0000DA080000}"/>
    <cellStyle name="s_Downey Charts_Ridge Asset Managment Model Q2 Valuation" xfId="2293" xr:uid="{00000000-0005-0000-0000-0000DB080000}"/>
    <cellStyle name="s_Downey Charts_Sheraton Tampa AM Model 112805" xfId="2294" xr:uid="{00000000-0005-0000-0000-0000DC080000}"/>
    <cellStyle name="s_Downey Charts_Sheraton Tampa AM Model 112805_150 Charles Street model - 2007.12.20 - Valuation v4 Markup" xfId="2295" xr:uid="{00000000-0005-0000-0000-0000DD080000}"/>
    <cellStyle name="s_Downey Charts_Sheraton Tampa AM Model 112805_150 Charles Street model - 2008.01.31 - Reconciled" xfId="2296" xr:uid="{00000000-0005-0000-0000-0000DE080000}"/>
    <cellStyle name="s_Downey Charts_Sheraton Tampa AM Model 112805_Apartment Model" xfId="2297" xr:uid="{00000000-0005-0000-0000-0000DF080000}"/>
    <cellStyle name="s_Downey Charts_Sheraton Tampa AM Model 112805_Apartment Model 5.31.08v3" xfId="2298" xr:uid="{00000000-0005-0000-0000-0000E0080000}"/>
    <cellStyle name="s_Downey Charts_Sheraton Tampa AM Model 112805_Charles St Model - 2008.09.30" xfId="2299" xr:uid="{00000000-0005-0000-0000-0000E1080000}"/>
    <cellStyle name="s_Downey Charts_Sheraton Tampa AM Model 112805_Ridge Asset Managment Model 5.31.08v3" xfId="2300" xr:uid="{00000000-0005-0000-0000-0000E2080000}"/>
    <cellStyle name="s_Downey Charts_Sheraton Tampa AM Model 112805_Ridge Asset Managment Model 7.31.08" xfId="2301" xr:uid="{00000000-0005-0000-0000-0000E3080000}"/>
    <cellStyle name="s_Downey Charts_Sheraton Tampa AM Model 112805_Ridge Asset Managment Model Q1 Valuations" xfId="2302" xr:uid="{00000000-0005-0000-0000-0000E4080000}"/>
    <cellStyle name="s_Downey Charts_Sheraton Tampa AM Model 112805_Ridge Asset Managment Model Q2 Valuation" xfId="2303" xr:uid="{00000000-0005-0000-0000-0000E5080000}"/>
    <cellStyle name="s_Downey Charts_Sheraton Tampa AM Model 112805_Trimont Asset Management Model V1" xfId="2304" xr:uid="{00000000-0005-0000-0000-0000E6080000}"/>
    <cellStyle name="s_Downey Charts_Sheraton Tampa AM Model 112805_Trimont Asset Management Model V2" xfId="2305" xr:uid="{00000000-0005-0000-0000-0000E7080000}"/>
    <cellStyle name="s_Downey Charts_Sheraton Tampa AM Model 112805_Valuation Summary New Format wCapRateSensitivity v5" xfId="2306" xr:uid="{00000000-0005-0000-0000-0000E8080000}"/>
    <cellStyle name="s_Downey Charts_Sheraton Tampa AM Model 112805_Valuation Template Non Operaating Deal 06.12.08" xfId="2307" xr:uid="{00000000-0005-0000-0000-0000E9080000}"/>
    <cellStyle name="s_Downey Charts_Sheraton Tampa AM Model 112805_Valuation Template Operating Deal 06.10.08" xfId="2308" xr:uid="{00000000-0005-0000-0000-0000EA080000}"/>
    <cellStyle name="s_Downey Charts_SOSJ AM Model (w 06 Budget &amp; refi) 2-16-06" xfId="2309" xr:uid="{00000000-0005-0000-0000-0000EB080000}"/>
    <cellStyle name="s_Downey Charts_Trimont Asset Management Model V1" xfId="2310" xr:uid="{00000000-0005-0000-0000-0000EC080000}"/>
    <cellStyle name="s_Downey Charts_Trimont Asset Management Model V2" xfId="2311" xr:uid="{00000000-0005-0000-0000-0000ED080000}"/>
    <cellStyle name="s_Downey Charts_Valuation Summary New Format wCapRateSensitivity v5" xfId="2312" xr:uid="{00000000-0005-0000-0000-0000EE080000}"/>
    <cellStyle name="s_Downey Charts_Valuation Template Non Operaating Deal 06.12.08" xfId="2313" xr:uid="{00000000-0005-0000-0000-0000EF080000}"/>
    <cellStyle name="s_Downey Charts_Valuation Template Operating Deal 06.10.08" xfId="2314" xr:uid="{00000000-0005-0000-0000-0000F0080000}"/>
    <cellStyle name="s_Financials_B" xfId="2315" xr:uid="{00000000-0005-0000-0000-0000F1080000}"/>
    <cellStyle name="s_Financials_B_150 Charles Street model - 2007.12.20 - Valuation v4 Markup" xfId="2316" xr:uid="{00000000-0005-0000-0000-0000F2080000}"/>
    <cellStyle name="s_Financials_B_150 Charles Street model - 2008.01.31 - Reconciled" xfId="2317" xr:uid="{00000000-0005-0000-0000-0000F3080000}"/>
    <cellStyle name="s_Financials_B_Apartment Model" xfId="2318" xr:uid="{00000000-0005-0000-0000-0000F4080000}"/>
    <cellStyle name="s_Financials_B_Apartment Model 5.31.08v3" xfId="2319" xr:uid="{00000000-0005-0000-0000-0000F5080000}"/>
    <cellStyle name="s_Financials_B_Charles St Model - 2008.09.30" xfId="2320" xr:uid="{00000000-0005-0000-0000-0000F6080000}"/>
    <cellStyle name="s_Financials_B_Ridge Asset Managment Model 5.31.08v3" xfId="2321" xr:uid="{00000000-0005-0000-0000-0000F7080000}"/>
    <cellStyle name="s_Financials_B_Ridge Asset Managment Model 7.31.08" xfId="2322" xr:uid="{00000000-0005-0000-0000-0000F8080000}"/>
    <cellStyle name="s_Financials_B_Ridge Asset Managment Model Q1 Valuations" xfId="2323" xr:uid="{00000000-0005-0000-0000-0000F9080000}"/>
    <cellStyle name="s_Financials_B_Ridge Asset Managment Model Q2 Valuation" xfId="2324" xr:uid="{00000000-0005-0000-0000-0000FA080000}"/>
    <cellStyle name="s_Financials_B_Sheraton Tampa AM Model 112805" xfId="2325" xr:uid="{00000000-0005-0000-0000-0000FB080000}"/>
    <cellStyle name="s_Financials_B_Sheraton Tampa AM Model 112805_150 Charles Street model - 2007.12.20 - Valuation v4 Markup" xfId="2326" xr:uid="{00000000-0005-0000-0000-0000FC080000}"/>
    <cellStyle name="s_Financials_B_Sheraton Tampa AM Model 112805_150 Charles Street model - 2008.01.31 - Reconciled" xfId="2327" xr:uid="{00000000-0005-0000-0000-0000FD080000}"/>
    <cellStyle name="s_Financials_B_Sheraton Tampa AM Model 112805_Apartment Model" xfId="2328" xr:uid="{00000000-0005-0000-0000-0000FE080000}"/>
    <cellStyle name="s_Financials_B_Sheraton Tampa AM Model 112805_Apartment Model 5.31.08v3" xfId="2329" xr:uid="{00000000-0005-0000-0000-0000FF080000}"/>
    <cellStyle name="s_Financials_B_Sheraton Tampa AM Model 112805_Charles St Model - 2008.09.30" xfId="2330" xr:uid="{00000000-0005-0000-0000-000000090000}"/>
    <cellStyle name="s_Financials_B_Sheraton Tampa AM Model 112805_Ridge Asset Managment Model 5.31.08v3" xfId="2331" xr:uid="{00000000-0005-0000-0000-000001090000}"/>
    <cellStyle name="s_Financials_B_Sheraton Tampa AM Model 112805_Ridge Asset Managment Model 7.31.08" xfId="2332" xr:uid="{00000000-0005-0000-0000-000002090000}"/>
    <cellStyle name="s_Financials_B_Sheraton Tampa AM Model 112805_Ridge Asset Managment Model Q1 Valuations" xfId="2333" xr:uid="{00000000-0005-0000-0000-000003090000}"/>
    <cellStyle name="s_Financials_B_Sheraton Tampa AM Model 112805_Ridge Asset Managment Model Q2 Valuation" xfId="2334" xr:uid="{00000000-0005-0000-0000-000004090000}"/>
    <cellStyle name="s_Financials_B_Sheraton Tampa AM Model 112805_Trimont Asset Management Model V1" xfId="2335" xr:uid="{00000000-0005-0000-0000-000005090000}"/>
    <cellStyle name="s_Financials_B_Sheraton Tampa AM Model 112805_Trimont Asset Management Model V2" xfId="2336" xr:uid="{00000000-0005-0000-0000-000006090000}"/>
    <cellStyle name="s_Financials_B_Sheraton Tampa AM Model 112805_Valuation Summary New Format wCapRateSensitivity v5" xfId="2337" xr:uid="{00000000-0005-0000-0000-000007090000}"/>
    <cellStyle name="s_Financials_B_Sheraton Tampa AM Model 112805_Valuation Template Non Operaating Deal 06.12.08" xfId="2338" xr:uid="{00000000-0005-0000-0000-000008090000}"/>
    <cellStyle name="s_Financials_B_Sheraton Tampa AM Model 112805_Valuation Template Operating Deal 06.10.08" xfId="2339" xr:uid="{00000000-0005-0000-0000-000009090000}"/>
    <cellStyle name="s_Financials_B_SOSJ AM Model (w 06 Budget &amp; refi) 2-16-06" xfId="2340" xr:uid="{00000000-0005-0000-0000-00000A090000}"/>
    <cellStyle name="s_Financials_B_Trimont Asset Management Model V1" xfId="2341" xr:uid="{00000000-0005-0000-0000-00000B090000}"/>
    <cellStyle name="s_Financials_B_Trimont Asset Management Model V2" xfId="2342" xr:uid="{00000000-0005-0000-0000-00000C090000}"/>
    <cellStyle name="s_Financials_B_Valuation Summary New Format wCapRateSensitivity v5" xfId="2343" xr:uid="{00000000-0005-0000-0000-00000D090000}"/>
    <cellStyle name="s_Financials_B_Valuation Template Non Operaating Deal 06.12.08" xfId="2344" xr:uid="{00000000-0005-0000-0000-00000E090000}"/>
    <cellStyle name="s_Financials_B_Valuation Template Operating Deal 06.10.08" xfId="2345" xr:uid="{00000000-0005-0000-0000-00000F090000}"/>
    <cellStyle name="s_Financials_T" xfId="2346" xr:uid="{00000000-0005-0000-0000-000010090000}"/>
    <cellStyle name="s_Financials_T_150 Charles Street model - 2007.12.20 - Valuation v4 Markup" xfId="2347" xr:uid="{00000000-0005-0000-0000-000011090000}"/>
    <cellStyle name="s_Financials_T_150 Charles Street model - 2008.01.31 - Reconciled" xfId="2348" xr:uid="{00000000-0005-0000-0000-000012090000}"/>
    <cellStyle name="s_Financials_T_Apartment Model" xfId="2349" xr:uid="{00000000-0005-0000-0000-000013090000}"/>
    <cellStyle name="s_Financials_T_Apartment Model 5.31.08v3" xfId="2350" xr:uid="{00000000-0005-0000-0000-000014090000}"/>
    <cellStyle name="s_Financials_T_Charles St Model - 2008.09.30" xfId="2351" xr:uid="{00000000-0005-0000-0000-000015090000}"/>
    <cellStyle name="s_Financials_T_Ridge Asset Managment Model 5.31.08v3" xfId="2352" xr:uid="{00000000-0005-0000-0000-000016090000}"/>
    <cellStyle name="s_Financials_T_Ridge Asset Managment Model 7.31.08" xfId="2353" xr:uid="{00000000-0005-0000-0000-000017090000}"/>
    <cellStyle name="s_Financials_T_Ridge Asset Managment Model Q1 Valuations" xfId="2354" xr:uid="{00000000-0005-0000-0000-000018090000}"/>
    <cellStyle name="s_Financials_T_Ridge Asset Managment Model Q2 Valuation" xfId="2355" xr:uid="{00000000-0005-0000-0000-000019090000}"/>
    <cellStyle name="s_Financials_T_Sheraton Tampa AM Model 112805" xfId="2356" xr:uid="{00000000-0005-0000-0000-00001A090000}"/>
    <cellStyle name="s_Financials_T_Sheraton Tampa AM Model 112805_150 Charles Street model - 2007.12.20 - Valuation v4 Markup" xfId="2357" xr:uid="{00000000-0005-0000-0000-00001B090000}"/>
    <cellStyle name="s_Financials_T_Sheraton Tampa AM Model 112805_150 Charles Street model - 2008.01.31 - Reconciled" xfId="2358" xr:uid="{00000000-0005-0000-0000-00001C090000}"/>
    <cellStyle name="s_Financials_T_Sheraton Tampa AM Model 112805_Apartment Model" xfId="2359" xr:uid="{00000000-0005-0000-0000-00001D090000}"/>
    <cellStyle name="s_Financials_T_Sheraton Tampa AM Model 112805_Apartment Model 5.31.08v3" xfId="2360" xr:uid="{00000000-0005-0000-0000-00001E090000}"/>
    <cellStyle name="s_Financials_T_Sheraton Tampa AM Model 112805_Charles St Model - 2008.09.30" xfId="2361" xr:uid="{00000000-0005-0000-0000-00001F090000}"/>
    <cellStyle name="s_Financials_T_Sheraton Tampa AM Model 112805_Ridge Asset Managment Model 5.31.08v3" xfId="2362" xr:uid="{00000000-0005-0000-0000-000020090000}"/>
    <cellStyle name="s_Financials_T_Sheraton Tampa AM Model 112805_Ridge Asset Managment Model 7.31.08" xfId="2363" xr:uid="{00000000-0005-0000-0000-000021090000}"/>
    <cellStyle name="s_Financials_T_Sheraton Tampa AM Model 112805_Ridge Asset Managment Model Q1 Valuations" xfId="2364" xr:uid="{00000000-0005-0000-0000-000022090000}"/>
    <cellStyle name="s_Financials_T_Sheraton Tampa AM Model 112805_Ridge Asset Managment Model Q2 Valuation" xfId="2365" xr:uid="{00000000-0005-0000-0000-000023090000}"/>
    <cellStyle name="s_Financials_T_Sheraton Tampa AM Model 112805_Trimont Asset Management Model V1" xfId="2366" xr:uid="{00000000-0005-0000-0000-000024090000}"/>
    <cellStyle name="s_Financials_T_Sheraton Tampa AM Model 112805_Trimont Asset Management Model V2" xfId="2367" xr:uid="{00000000-0005-0000-0000-000025090000}"/>
    <cellStyle name="s_Financials_T_Sheraton Tampa AM Model 112805_Valuation Summary New Format wCapRateSensitivity v5" xfId="2368" xr:uid="{00000000-0005-0000-0000-000026090000}"/>
    <cellStyle name="s_Financials_T_Sheraton Tampa AM Model 112805_Valuation Template Non Operaating Deal 06.12.08" xfId="2369" xr:uid="{00000000-0005-0000-0000-000027090000}"/>
    <cellStyle name="s_Financials_T_Sheraton Tampa AM Model 112805_Valuation Template Operating Deal 06.10.08" xfId="2370" xr:uid="{00000000-0005-0000-0000-000028090000}"/>
    <cellStyle name="s_Financials_T_SOSJ AM Model (w 06 Budget &amp; refi) 2-16-06" xfId="2371" xr:uid="{00000000-0005-0000-0000-000029090000}"/>
    <cellStyle name="s_Financials_T_Trimont Asset Management Model V1" xfId="2372" xr:uid="{00000000-0005-0000-0000-00002A090000}"/>
    <cellStyle name="s_Financials_T_Trimont Asset Management Model V2" xfId="2373" xr:uid="{00000000-0005-0000-0000-00002B090000}"/>
    <cellStyle name="s_Financials_T_Valuation Summary New Format wCapRateSensitivity v5" xfId="2374" xr:uid="{00000000-0005-0000-0000-00002C090000}"/>
    <cellStyle name="s_Financials_T_Valuation Template Non Operaating Deal 06.12.08" xfId="2375" xr:uid="{00000000-0005-0000-0000-00002D090000}"/>
    <cellStyle name="s_Financials_T_Valuation Template Operating Deal 06.10.08" xfId="2376" xr:uid="{00000000-0005-0000-0000-00002E090000}"/>
    <cellStyle name="s_Grouse+Pelican" xfId="2377" xr:uid="{00000000-0005-0000-0000-00002F090000}"/>
    <cellStyle name="s_Macros" xfId="2378" xr:uid="{00000000-0005-0000-0000-000030090000}"/>
    <cellStyle name="s_Macros (2)" xfId="2379" xr:uid="{00000000-0005-0000-0000-000031090000}"/>
    <cellStyle name="s_Macros (2) 2" xfId="2380" xr:uid="{00000000-0005-0000-0000-000032090000}"/>
    <cellStyle name="s_Macros 2" xfId="2381" xr:uid="{00000000-0005-0000-0000-000033090000}"/>
    <cellStyle name="s_Macros 3" xfId="2382" xr:uid="{00000000-0005-0000-0000-000034090000}"/>
    <cellStyle name="s_Manager (2)" xfId="2383" xr:uid="{00000000-0005-0000-0000-000035090000}"/>
    <cellStyle name="s_Manager (2) 2" xfId="2384" xr:uid="{00000000-0005-0000-0000-000036090000}"/>
    <cellStyle name="s_Matrix_B" xfId="2385" xr:uid="{00000000-0005-0000-0000-000037090000}"/>
    <cellStyle name="s_Matrix_B_150 Charles Street model - 2007.12.20 - Valuation v4 Markup" xfId="2386" xr:uid="{00000000-0005-0000-0000-000038090000}"/>
    <cellStyle name="s_Matrix_B_150 Charles Street model - 2008.01.31 - Reconciled" xfId="2387" xr:uid="{00000000-0005-0000-0000-000039090000}"/>
    <cellStyle name="s_Matrix_B_Apartment Model" xfId="2388" xr:uid="{00000000-0005-0000-0000-00003A090000}"/>
    <cellStyle name="s_Matrix_B_Apartment Model 5.31.08v3" xfId="2389" xr:uid="{00000000-0005-0000-0000-00003B090000}"/>
    <cellStyle name="s_Matrix_B_Charles St Model - 2008.09.30" xfId="2390" xr:uid="{00000000-0005-0000-0000-00003C090000}"/>
    <cellStyle name="s_Matrix_B_Ridge Asset Managment Model 5.31.08v3" xfId="2391" xr:uid="{00000000-0005-0000-0000-00003D090000}"/>
    <cellStyle name="s_Matrix_B_Ridge Asset Managment Model 7.31.08" xfId="2392" xr:uid="{00000000-0005-0000-0000-00003E090000}"/>
    <cellStyle name="s_Matrix_B_Ridge Asset Managment Model Q1 Valuations" xfId="2393" xr:uid="{00000000-0005-0000-0000-00003F090000}"/>
    <cellStyle name="s_Matrix_B_Ridge Asset Managment Model Q2 Valuation" xfId="2394" xr:uid="{00000000-0005-0000-0000-000040090000}"/>
    <cellStyle name="s_Matrix_B_Sheraton Tampa AM Model 112805" xfId="2395" xr:uid="{00000000-0005-0000-0000-000041090000}"/>
    <cellStyle name="s_Matrix_B_Sheraton Tampa AM Model 112805_150 Charles Street model - 2007.12.20 - Valuation v4 Markup" xfId="2396" xr:uid="{00000000-0005-0000-0000-000042090000}"/>
    <cellStyle name="s_Matrix_B_Sheraton Tampa AM Model 112805_150 Charles Street model - 2008.01.31 - Reconciled" xfId="2397" xr:uid="{00000000-0005-0000-0000-000043090000}"/>
    <cellStyle name="s_Matrix_B_Sheraton Tampa AM Model 112805_Apartment Model" xfId="2398" xr:uid="{00000000-0005-0000-0000-000044090000}"/>
    <cellStyle name="s_Matrix_B_Sheraton Tampa AM Model 112805_Apartment Model 5.31.08v3" xfId="2399" xr:uid="{00000000-0005-0000-0000-000045090000}"/>
    <cellStyle name="s_Matrix_B_Sheraton Tampa AM Model 112805_Charles St Model - 2008.09.30" xfId="2400" xr:uid="{00000000-0005-0000-0000-000046090000}"/>
    <cellStyle name="s_Matrix_B_Sheraton Tampa AM Model 112805_Ridge Asset Managment Model 5.31.08v3" xfId="2401" xr:uid="{00000000-0005-0000-0000-000047090000}"/>
    <cellStyle name="s_Matrix_B_Sheraton Tampa AM Model 112805_Ridge Asset Managment Model 7.31.08" xfId="2402" xr:uid="{00000000-0005-0000-0000-000048090000}"/>
    <cellStyle name="s_Matrix_B_Sheraton Tampa AM Model 112805_Ridge Asset Managment Model Q1 Valuations" xfId="2403" xr:uid="{00000000-0005-0000-0000-000049090000}"/>
    <cellStyle name="s_Matrix_B_Sheraton Tampa AM Model 112805_Ridge Asset Managment Model Q2 Valuation" xfId="2404" xr:uid="{00000000-0005-0000-0000-00004A090000}"/>
    <cellStyle name="s_Matrix_B_Sheraton Tampa AM Model 112805_Trimont Asset Management Model V1" xfId="2405" xr:uid="{00000000-0005-0000-0000-00004B090000}"/>
    <cellStyle name="s_Matrix_B_Sheraton Tampa AM Model 112805_Trimont Asset Management Model V2" xfId="2406" xr:uid="{00000000-0005-0000-0000-00004C090000}"/>
    <cellStyle name="s_Matrix_B_Sheraton Tampa AM Model 112805_Valuation Summary New Format wCapRateSensitivity v5" xfId="2407" xr:uid="{00000000-0005-0000-0000-00004D090000}"/>
    <cellStyle name="s_Matrix_B_Sheraton Tampa AM Model 112805_Valuation Template Non Operaating Deal 06.12.08" xfId="2408" xr:uid="{00000000-0005-0000-0000-00004E090000}"/>
    <cellStyle name="s_Matrix_B_Sheraton Tampa AM Model 112805_Valuation Template Operating Deal 06.10.08" xfId="2409" xr:uid="{00000000-0005-0000-0000-00004F090000}"/>
    <cellStyle name="s_Matrix_B_SOSJ AM Model (w 06 Budget &amp; refi) 2-16-06" xfId="2410" xr:uid="{00000000-0005-0000-0000-000050090000}"/>
    <cellStyle name="s_Matrix_B_Trimont Asset Management Model V1" xfId="2411" xr:uid="{00000000-0005-0000-0000-000051090000}"/>
    <cellStyle name="s_Matrix_B_Trimont Asset Management Model V2" xfId="2412" xr:uid="{00000000-0005-0000-0000-000052090000}"/>
    <cellStyle name="s_Matrix_B_Valuation Summary New Format wCapRateSensitivity v5" xfId="2413" xr:uid="{00000000-0005-0000-0000-000053090000}"/>
    <cellStyle name="s_Matrix_B_Valuation Template Non Operaating Deal 06.12.08" xfId="2414" xr:uid="{00000000-0005-0000-0000-000054090000}"/>
    <cellStyle name="s_Matrix_B_Valuation Template Operating Deal 06.10.08" xfId="2415" xr:uid="{00000000-0005-0000-0000-000055090000}"/>
    <cellStyle name="s_Matrix_T" xfId="2416" xr:uid="{00000000-0005-0000-0000-000056090000}"/>
    <cellStyle name="s_Matrix_T_150 Charles Street model - 2007.12.20 - Valuation v4 Markup" xfId="2417" xr:uid="{00000000-0005-0000-0000-000057090000}"/>
    <cellStyle name="s_Matrix_T_150 Charles Street model - 2008.01.31 - Reconciled" xfId="2418" xr:uid="{00000000-0005-0000-0000-000058090000}"/>
    <cellStyle name="s_Matrix_T_Apartment Model" xfId="2419" xr:uid="{00000000-0005-0000-0000-000059090000}"/>
    <cellStyle name="s_Matrix_T_Apartment Model 5.31.08v3" xfId="2420" xr:uid="{00000000-0005-0000-0000-00005A090000}"/>
    <cellStyle name="s_Matrix_T_Charles St Model - 2008.09.30" xfId="2421" xr:uid="{00000000-0005-0000-0000-00005B090000}"/>
    <cellStyle name="s_Matrix_T_Ridge Asset Managment Model 5.31.08v3" xfId="2422" xr:uid="{00000000-0005-0000-0000-00005C090000}"/>
    <cellStyle name="s_Matrix_T_Ridge Asset Managment Model 7.31.08" xfId="2423" xr:uid="{00000000-0005-0000-0000-00005D090000}"/>
    <cellStyle name="s_Matrix_T_Ridge Asset Managment Model Q1 Valuations" xfId="2424" xr:uid="{00000000-0005-0000-0000-00005E090000}"/>
    <cellStyle name="s_Matrix_T_Ridge Asset Managment Model Q2 Valuation" xfId="2425" xr:uid="{00000000-0005-0000-0000-00005F090000}"/>
    <cellStyle name="s_Matrix_T_Sheraton Tampa AM Model 112805" xfId="2426" xr:uid="{00000000-0005-0000-0000-000060090000}"/>
    <cellStyle name="s_Matrix_T_Sheraton Tampa AM Model 112805_150 Charles Street model - 2007.12.20 - Valuation v4 Markup" xfId="2427" xr:uid="{00000000-0005-0000-0000-000061090000}"/>
    <cellStyle name="s_Matrix_T_Sheraton Tampa AM Model 112805_150 Charles Street model - 2008.01.31 - Reconciled" xfId="2428" xr:uid="{00000000-0005-0000-0000-000062090000}"/>
    <cellStyle name="s_Matrix_T_Sheraton Tampa AM Model 112805_Apartment Model" xfId="2429" xr:uid="{00000000-0005-0000-0000-000063090000}"/>
    <cellStyle name="s_Matrix_T_Sheraton Tampa AM Model 112805_Apartment Model 5.31.08v3" xfId="2430" xr:uid="{00000000-0005-0000-0000-000064090000}"/>
    <cellStyle name="s_Matrix_T_Sheraton Tampa AM Model 112805_Charles St Model - 2008.09.30" xfId="2431" xr:uid="{00000000-0005-0000-0000-000065090000}"/>
    <cellStyle name="s_Matrix_T_Sheraton Tampa AM Model 112805_Ridge Asset Managment Model 5.31.08v3" xfId="2432" xr:uid="{00000000-0005-0000-0000-000066090000}"/>
    <cellStyle name="s_Matrix_T_Sheraton Tampa AM Model 112805_Ridge Asset Managment Model 7.31.08" xfId="2433" xr:uid="{00000000-0005-0000-0000-000067090000}"/>
    <cellStyle name="s_Matrix_T_Sheraton Tampa AM Model 112805_Ridge Asset Managment Model Q1 Valuations" xfId="2434" xr:uid="{00000000-0005-0000-0000-000068090000}"/>
    <cellStyle name="s_Matrix_T_Sheraton Tampa AM Model 112805_Ridge Asset Managment Model Q2 Valuation" xfId="2435" xr:uid="{00000000-0005-0000-0000-000069090000}"/>
    <cellStyle name="s_Matrix_T_Sheraton Tampa AM Model 112805_Trimont Asset Management Model V1" xfId="2436" xr:uid="{00000000-0005-0000-0000-00006A090000}"/>
    <cellStyle name="s_Matrix_T_Sheraton Tampa AM Model 112805_Trimont Asset Management Model V2" xfId="2437" xr:uid="{00000000-0005-0000-0000-00006B090000}"/>
    <cellStyle name="s_Matrix_T_Sheraton Tampa AM Model 112805_Valuation Summary New Format wCapRateSensitivity v5" xfId="2438" xr:uid="{00000000-0005-0000-0000-00006C090000}"/>
    <cellStyle name="s_Matrix_T_Sheraton Tampa AM Model 112805_Valuation Template Non Operaating Deal 06.12.08" xfId="2439" xr:uid="{00000000-0005-0000-0000-00006D090000}"/>
    <cellStyle name="s_Matrix_T_Sheraton Tampa AM Model 112805_Valuation Template Operating Deal 06.10.08" xfId="2440" xr:uid="{00000000-0005-0000-0000-00006E090000}"/>
    <cellStyle name="s_Matrix_T_SOSJ AM Model (w 06 Budget &amp; refi) 2-16-06" xfId="2441" xr:uid="{00000000-0005-0000-0000-00006F090000}"/>
    <cellStyle name="s_Matrix_T_Trimont Asset Management Model V1" xfId="2442" xr:uid="{00000000-0005-0000-0000-000070090000}"/>
    <cellStyle name="s_Matrix_T_Trimont Asset Management Model V2" xfId="2443" xr:uid="{00000000-0005-0000-0000-000071090000}"/>
    <cellStyle name="s_Matrix_T_Valuation Summary New Format wCapRateSensitivity v5" xfId="2444" xr:uid="{00000000-0005-0000-0000-000072090000}"/>
    <cellStyle name="s_Matrix_T_Valuation Template Non Operaating Deal 06.12.08" xfId="2445" xr:uid="{00000000-0005-0000-0000-000073090000}"/>
    <cellStyle name="s_Matrix_T_Valuation Template Operating Deal 06.10.08" xfId="2446" xr:uid="{00000000-0005-0000-0000-000074090000}"/>
    <cellStyle name="s_Merger" xfId="2447" xr:uid="{00000000-0005-0000-0000-000075090000}"/>
    <cellStyle name="s_Merger_150 Charles Street model - 2007.12.20 - Valuation v4 Markup" xfId="2448" xr:uid="{00000000-0005-0000-0000-000076090000}"/>
    <cellStyle name="s_Merger_150 Charles Street model - 2008.01.31 - Reconciled" xfId="2449" xr:uid="{00000000-0005-0000-0000-000077090000}"/>
    <cellStyle name="s_Merger_Apartment Model" xfId="2450" xr:uid="{00000000-0005-0000-0000-000078090000}"/>
    <cellStyle name="s_Merger_Apartment Model 5.31.08v3" xfId="2451" xr:uid="{00000000-0005-0000-0000-000079090000}"/>
    <cellStyle name="s_Merger_Charles St Model - 2008.09.30" xfId="2452" xr:uid="{00000000-0005-0000-0000-00007A090000}"/>
    <cellStyle name="s_Merger_Ridge Asset Managment Model 5.31.08v3" xfId="2453" xr:uid="{00000000-0005-0000-0000-00007B090000}"/>
    <cellStyle name="s_Merger_Ridge Asset Managment Model 7.31.08" xfId="2454" xr:uid="{00000000-0005-0000-0000-00007C090000}"/>
    <cellStyle name="s_Merger_Ridge Asset Managment Model Q1 Valuations" xfId="2455" xr:uid="{00000000-0005-0000-0000-00007D090000}"/>
    <cellStyle name="s_Merger_Ridge Asset Managment Model Q2 Valuation" xfId="2456" xr:uid="{00000000-0005-0000-0000-00007E090000}"/>
    <cellStyle name="s_Merger_Sheraton Tampa AM Model 112805" xfId="2457" xr:uid="{00000000-0005-0000-0000-00007F090000}"/>
    <cellStyle name="s_Merger_Sheraton Tampa AM Model 112805_150 Charles Street model - 2007.12.20 - Valuation v4 Markup" xfId="2458" xr:uid="{00000000-0005-0000-0000-000080090000}"/>
    <cellStyle name="s_Merger_Sheraton Tampa AM Model 112805_150 Charles Street model - 2008.01.31 - Reconciled" xfId="2459" xr:uid="{00000000-0005-0000-0000-000081090000}"/>
    <cellStyle name="s_Merger_Sheraton Tampa AM Model 112805_Apartment Model" xfId="2460" xr:uid="{00000000-0005-0000-0000-000082090000}"/>
    <cellStyle name="s_Merger_Sheraton Tampa AM Model 112805_Apartment Model 5.31.08v3" xfId="2461" xr:uid="{00000000-0005-0000-0000-000083090000}"/>
    <cellStyle name="s_Merger_Sheraton Tampa AM Model 112805_Charles St Model - 2008.09.30" xfId="2462" xr:uid="{00000000-0005-0000-0000-000084090000}"/>
    <cellStyle name="s_Merger_Sheraton Tampa AM Model 112805_Ridge Asset Managment Model 5.31.08v3" xfId="2463" xr:uid="{00000000-0005-0000-0000-000085090000}"/>
    <cellStyle name="s_Merger_Sheraton Tampa AM Model 112805_Ridge Asset Managment Model 7.31.08" xfId="2464" xr:uid="{00000000-0005-0000-0000-000086090000}"/>
    <cellStyle name="s_Merger_Sheraton Tampa AM Model 112805_Ridge Asset Managment Model Q1 Valuations" xfId="2465" xr:uid="{00000000-0005-0000-0000-000087090000}"/>
    <cellStyle name="s_Merger_Sheraton Tampa AM Model 112805_Ridge Asset Managment Model Q2 Valuation" xfId="2466" xr:uid="{00000000-0005-0000-0000-000088090000}"/>
    <cellStyle name="s_Merger_Sheraton Tampa AM Model 112805_Trimont Asset Management Model V1" xfId="2467" xr:uid="{00000000-0005-0000-0000-000089090000}"/>
    <cellStyle name="s_Merger_Sheraton Tampa AM Model 112805_Trimont Asset Management Model V2" xfId="2468" xr:uid="{00000000-0005-0000-0000-00008A090000}"/>
    <cellStyle name="s_Merger_Sheraton Tampa AM Model 112805_Valuation Summary New Format wCapRateSensitivity v5" xfId="2469" xr:uid="{00000000-0005-0000-0000-00008B090000}"/>
    <cellStyle name="s_Merger_Sheraton Tampa AM Model 112805_Valuation Template Non Operaating Deal 06.12.08" xfId="2470" xr:uid="{00000000-0005-0000-0000-00008C090000}"/>
    <cellStyle name="s_Merger_Sheraton Tampa AM Model 112805_Valuation Template Operating Deal 06.10.08" xfId="2471" xr:uid="{00000000-0005-0000-0000-00008D090000}"/>
    <cellStyle name="s_Merger_SOSJ AM Model (w 06 Budget &amp; refi) 2-16-06" xfId="2472" xr:uid="{00000000-0005-0000-0000-00008E090000}"/>
    <cellStyle name="s_Merger_Trimont Asset Management Model V1" xfId="2473" xr:uid="{00000000-0005-0000-0000-00008F090000}"/>
    <cellStyle name="s_Merger_Trimont Asset Management Model V2" xfId="2474" xr:uid="{00000000-0005-0000-0000-000090090000}"/>
    <cellStyle name="s_Merger_Valuation Summary New Format wCapRateSensitivity v5" xfId="2475" xr:uid="{00000000-0005-0000-0000-000091090000}"/>
    <cellStyle name="s_Merger_Valuation Template Non Operaating Deal 06.12.08" xfId="2476" xr:uid="{00000000-0005-0000-0000-000092090000}"/>
    <cellStyle name="s_Merger_Valuation Template Operating Deal 06.10.08" xfId="2477" xr:uid="{00000000-0005-0000-0000-000093090000}"/>
    <cellStyle name="s_model2" xfId="2478" xr:uid="{00000000-0005-0000-0000-000094090000}"/>
    <cellStyle name="s_model2_150 Charles Street model - 2007.12.20 - Valuation v4 Markup" xfId="2479" xr:uid="{00000000-0005-0000-0000-000095090000}"/>
    <cellStyle name="s_model2_150 Charles Street model - 2008.01.31 - Reconciled" xfId="2480" xr:uid="{00000000-0005-0000-0000-000096090000}"/>
    <cellStyle name="s_model2_Apartment Model" xfId="2481" xr:uid="{00000000-0005-0000-0000-000097090000}"/>
    <cellStyle name="s_model2_Apartment Model 5.31.08v3" xfId="2482" xr:uid="{00000000-0005-0000-0000-000098090000}"/>
    <cellStyle name="s_model2_Charles St Model - 2008.09.30" xfId="2483" xr:uid="{00000000-0005-0000-0000-000099090000}"/>
    <cellStyle name="s_model2_Ridge Asset Managment Model 5.31.08v3" xfId="2484" xr:uid="{00000000-0005-0000-0000-00009A090000}"/>
    <cellStyle name="s_model2_Ridge Asset Managment Model 7.31.08" xfId="2485" xr:uid="{00000000-0005-0000-0000-00009B090000}"/>
    <cellStyle name="s_model2_Ridge Asset Managment Model Q1 Valuations" xfId="2486" xr:uid="{00000000-0005-0000-0000-00009C090000}"/>
    <cellStyle name="s_model2_Ridge Asset Managment Model Q2 Valuation" xfId="2487" xr:uid="{00000000-0005-0000-0000-00009D090000}"/>
    <cellStyle name="s_model2_Sheraton Tampa AM Model 112805" xfId="2488" xr:uid="{00000000-0005-0000-0000-00009E090000}"/>
    <cellStyle name="s_model2_Sheraton Tampa AM Model 112805_150 Charles Street model - 2007.12.20 - Valuation v4 Markup" xfId="2489" xr:uid="{00000000-0005-0000-0000-00009F090000}"/>
    <cellStyle name="s_model2_Sheraton Tampa AM Model 112805_150 Charles Street model - 2008.01.31 - Reconciled" xfId="2490" xr:uid="{00000000-0005-0000-0000-0000A0090000}"/>
    <cellStyle name="s_model2_Sheraton Tampa AM Model 112805_Apartment Model" xfId="2491" xr:uid="{00000000-0005-0000-0000-0000A1090000}"/>
    <cellStyle name="s_model2_Sheraton Tampa AM Model 112805_Apartment Model 5.31.08v3" xfId="2492" xr:uid="{00000000-0005-0000-0000-0000A2090000}"/>
    <cellStyle name="s_model2_Sheraton Tampa AM Model 112805_Charles St Model - 2008.09.30" xfId="2493" xr:uid="{00000000-0005-0000-0000-0000A3090000}"/>
    <cellStyle name="s_model2_Sheraton Tampa AM Model 112805_Ridge Asset Managment Model 5.31.08v3" xfId="2494" xr:uid="{00000000-0005-0000-0000-0000A4090000}"/>
    <cellStyle name="s_model2_Sheraton Tampa AM Model 112805_Ridge Asset Managment Model 7.31.08" xfId="2495" xr:uid="{00000000-0005-0000-0000-0000A5090000}"/>
    <cellStyle name="s_model2_Sheraton Tampa AM Model 112805_Ridge Asset Managment Model Q1 Valuations" xfId="2496" xr:uid="{00000000-0005-0000-0000-0000A6090000}"/>
    <cellStyle name="s_model2_Sheraton Tampa AM Model 112805_Ridge Asset Managment Model Q2 Valuation" xfId="2497" xr:uid="{00000000-0005-0000-0000-0000A7090000}"/>
    <cellStyle name="s_model2_Sheraton Tampa AM Model 112805_Trimont Asset Management Model V1" xfId="2498" xr:uid="{00000000-0005-0000-0000-0000A8090000}"/>
    <cellStyle name="s_model2_Sheraton Tampa AM Model 112805_Trimont Asset Management Model V2" xfId="2499" xr:uid="{00000000-0005-0000-0000-0000A9090000}"/>
    <cellStyle name="s_model2_Sheraton Tampa AM Model 112805_Valuation Summary New Format wCapRateSensitivity v5" xfId="2500" xr:uid="{00000000-0005-0000-0000-0000AA090000}"/>
    <cellStyle name="s_model2_Sheraton Tampa AM Model 112805_Valuation Template Non Operaating Deal 06.12.08" xfId="2501" xr:uid="{00000000-0005-0000-0000-0000AB090000}"/>
    <cellStyle name="s_model2_Sheraton Tampa AM Model 112805_Valuation Template Operating Deal 06.10.08" xfId="2502" xr:uid="{00000000-0005-0000-0000-0000AC090000}"/>
    <cellStyle name="s_model2_SOSJ AM Model (w 06 Budget &amp; refi) 2-16-06" xfId="2503" xr:uid="{00000000-0005-0000-0000-0000AD090000}"/>
    <cellStyle name="s_model2_Trimont Asset Management Model V1" xfId="2504" xr:uid="{00000000-0005-0000-0000-0000AE090000}"/>
    <cellStyle name="s_model2_Trimont Asset Management Model V2" xfId="2505" xr:uid="{00000000-0005-0000-0000-0000AF090000}"/>
    <cellStyle name="s_model2_Valuation Summary New Format wCapRateSensitivity v5" xfId="2506" xr:uid="{00000000-0005-0000-0000-0000B0090000}"/>
    <cellStyle name="s_model2_Valuation Template Non Operaating Deal 06.12.08" xfId="2507" xr:uid="{00000000-0005-0000-0000-0000B1090000}"/>
    <cellStyle name="s_model2_Valuation Template Operating Deal 06.10.08" xfId="2508" xr:uid="{00000000-0005-0000-0000-0000B2090000}"/>
    <cellStyle name="s_P_L_Ratios" xfId="2509" xr:uid="{00000000-0005-0000-0000-0000B3090000}"/>
    <cellStyle name="s_P_L_Ratios_150 Charles Street model - 2007.12.20 - Valuation v4 Markup" xfId="2510" xr:uid="{00000000-0005-0000-0000-0000B4090000}"/>
    <cellStyle name="s_P_L_Ratios_150 Charles Street model - 2008.01.31 - Reconciled" xfId="2511" xr:uid="{00000000-0005-0000-0000-0000B5090000}"/>
    <cellStyle name="s_P_L_Ratios_Apartment Model" xfId="2512" xr:uid="{00000000-0005-0000-0000-0000B6090000}"/>
    <cellStyle name="s_P_L_Ratios_Apartment Model 5.31.08v3" xfId="2513" xr:uid="{00000000-0005-0000-0000-0000B7090000}"/>
    <cellStyle name="s_P_L_Ratios_B" xfId="2514" xr:uid="{00000000-0005-0000-0000-0000B8090000}"/>
    <cellStyle name="s_P_L_Ratios_B_150 Charles Street model - 2007.12.20 - Valuation v4 Markup" xfId="2515" xr:uid="{00000000-0005-0000-0000-0000B9090000}"/>
    <cellStyle name="s_P_L_Ratios_B_150 Charles Street model - 2008.01.31 - Reconciled" xfId="2516" xr:uid="{00000000-0005-0000-0000-0000BA090000}"/>
    <cellStyle name="s_P_L_Ratios_B_Apartment Model" xfId="2517" xr:uid="{00000000-0005-0000-0000-0000BB090000}"/>
    <cellStyle name="s_P_L_Ratios_B_Apartment Model 5.31.08v3" xfId="2518" xr:uid="{00000000-0005-0000-0000-0000BC090000}"/>
    <cellStyle name="s_P_L_Ratios_B_Charles St Model - 2008.09.30" xfId="2519" xr:uid="{00000000-0005-0000-0000-0000BD090000}"/>
    <cellStyle name="s_P_L_Ratios_B_Ridge Asset Managment Model 5.31.08v3" xfId="2520" xr:uid="{00000000-0005-0000-0000-0000BE090000}"/>
    <cellStyle name="s_P_L_Ratios_B_Ridge Asset Managment Model 7.31.08" xfId="2521" xr:uid="{00000000-0005-0000-0000-0000BF090000}"/>
    <cellStyle name="s_P_L_Ratios_B_Ridge Asset Managment Model Q1 Valuations" xfId="2522" xr:uid="{00000000-0005-0000-0000-0000C0090000}"/>
    <cellStyle name="s_P_L_Ratios_B_Ridge Asset Managment Model Q2 Valuation" xfId="2523" xr:uid="{00000000-0005-0000-0000-0000C1090000}"/>
    <cellStyle name="s_P_L_Ratios_B_Sheraton Tampa AM Model 112805" xfId="2524" xr:uid="{00000000-0005-0000-0000-0000C2090000}"/>
    <cellStyle name="s_P_L_Ratios_B_Sheraton Tampa AM Model 112805_150 Charles Street model - 2007.12.20 - Valuation v4 Markup" xfId="2525" xr:uid="{00000000-0005-0000-0000-0000C3090000}"/>
    <cellStyle name="s_P_L_Ratios_B_Sheraton Tampa AM Model 112805_150 Charles Street model - 2008.01.31 - Reconciled" xfId="2526" xr:uid="{00000000-0005-0000-0000-0000C4090000}"/>
    <cellStyle name="s_P_L_Ratios_B_Sheraton Tampa AM Model 112805_Apartment Model" xfId="2527" xr:uid="{00000000-0005-0000-0000-0000C5090000}"/>
    <cellStyle name="s_P_L_Ratios_B_Sheraton Tampa AM Model 112805_Apartment Model 5.31.08v3" xfId="2528" xr:uid="{00000000-0005-0000-0000-0000C6090000}"/>
    <cellStyle name="s_P_L_Ratios_B_Sheraton Tampa AM Model 112805_Charles St Model - 2008.09.30" xfId="2529" xr:uid="{00000000-0005-0000-0000-0000C7090000}"/>
    <cellStyle name="s_P_L_Ratios_B_Sheraton Tampa AM Model 112805_Ridge Asset Managment Model 5.31.08v3" xfId="2530" xr:uid="{00000000-0005-0000-0000-0000C8090000}"/>
    <cellStyle name="s_P_L_Ratios_B_Sheraton Tampa AM Model 112805_Ridge Asset Managment Model 7.31.08" xfId="2531" xr:uid="{00000000-0005-0000-0000-0000C9090000}"/>
    <cellStyle name="s_P_L_Ratios_B_Sheraton Tampa AM Model 112805_Ridge Asset Managment Model Q1 Valuations" xfId="2532" xr:uid="{00000000-0005-0000-0000-0000CA090000}"/>
    <cellStyle name="s_P_L_Ratios_B_Sheraton Tampa AM Model 112805_Ridge Asset Managment Model Q2 Valuation" xfId="2533" xr:uid="{00000000-0005-0000-0000-0000CB090000}"/>
    <cellStyle name="s_P_L_Ratios_B_Sheraton Tampa AM Model 112805_Trimont Asset Management Model V1" xfId="2534" xr:uid="{00000000-0005-0000-0000-0000CC090000}"/>
    <cellStyle name="s_P_L_Ratios_B_Sheraton Tampa AM Model 112805_Trimont Asset Management Model V2" xfId="2535" xr:uid="{00000000-0005-0000-0000-0000CD090000}"/>
    <cellStyle name="s_P_L_Ratios_B_Sheraton Tampa AM Model 112805_Valuation Summary New Format wCapRateSensitivity v5" xfId="2536" xr:uid="{00000000-0005-0000-0000-0000CE090000}"/>
    <cellStyle name="s_P_L_Ratios_B_Sheraton Tampa AM Model 112805_Valuation Template Non Operaating Deal 06.12.08" xfId="2537" xr:uid="{00000000-0005-0000-0000-0000CF090000}"/>
    <cellStyle name="s_P_L_Ratios_B_Sheraton Tampa AM Model 112805_Valuation Template Operating Deal 06.10.08" xfId="2538" xr:uid="{00000000-0005-0000-0000-0000D0090000}"/>
    <cellStyle name="s_P_L_Ratios_B_SOSJ AM Model (w 06 Budget &amp; refi) 2-16-06" xfId="2539" xr:uid="{00000000-0005-0000-0000-0000D1090000}"/>
    <cellStyle name="s_P_L_Ratios_B_Trimont Asset Management Model V1" xfId="2540" xr:uid="{00000000-0005-0000-0000-0000D2090000}"/>
    <cellStyle name="s_P_L_Ratios_B_Trimont Asset Management Model V2" xfId="2541" xr:uid="{00000000-0005-0000-0000-0000D3090000}"/>
    <cellStyle name="s_P_L_Ratios_B_Valuation Summary New Format wCapRateSensitivity v5" xfId="2542" xr:uid="{00000000-0005-0000-0000-0000D4090000}"/>
    <cellStyle name="s_P_L_Ratios_B_Valuation Template Non Operaating Deal 06.12.08" xfId="2543" xr:uid="{00000000-0005-0000-0000-0000D5090000}"/>
    <cellStyle name="s_P_L_Ratios_B_Valuation Template Operating Deal 06.10.08" xfId="2544" xr:uid="{00000000-0005-0000-0000-0000D6090000}"/>
    <cellStyle name="s_P_L_Ratios_Charles St Model - 2008.09.30" xfId="2545" xr:uid="{00000000-0005-0000-0000-0000D7090000}"/>
    <cellStyle name="s_P_L_Ratios_Ridge Asset Managment Model 5.31.08v3" xfId="2546" xr:uid="{00000000-0005-0000-0000-0000D8090000}"/>
    <cellStyle name="s_P_L_Ratios_Ridge Asset Managment Model 7.31.08" xfId="2547" xr:uid="{00000000-0005-0000-0000-0000D9090000}"/>
    <cellStyle name="s_P_L_Ratios_Ridge Asset Managment Model Q1 Valuations" xfId="2548" xr:uid="{00000000-0005-0000-0000-0000DA090000}"/>
    <cellStyle name="s_P_L_Ratios_Ridge Asset Managment Model Q2 Valuation" xfId="2549" xr:uid="{00000000-0005-0000-0000-0000DB090000}"/>
    <cellStyle name="s_P_L_Ratios_Sheraton Tampa AM Model 112805" xfId="2550" xr:uid="{00000000-0005-0000-0000-0000DC090000}"/>
    <cellStyle name="s_P_L_Ratios_Sheraton Tampa AM Model 112805_150 Charles Street model - 2007.12.20 - Valuation v4 Markup" xfId="2551" xr:uid="{00000000-0005-0000-0000-0000DD090000}"/>
    <cellStyle name="s_P_L_Ratios_Sheraton Tampa AM Model 112805_150 Charles Street model - 2008.01.31 - Reconciled" xfId="2552" xr:uid="{00000000-0005-0000-0000-0000DE090000}"/>
    <cellStyle name="s_P_L_Ratios_Sheraton Tampa AM Model 112805_Apartment Model" xfId="2553" xr:uid="{00000000-0005-0000-0000-0000DF090000}"/>
    <cellStyle name="s_P_L_Ratios_Sheraton Tampa AM Model 112805_Apartment Model 5.31.08v3" xfId="2554" xr:uid="{00000000-0005-0000-0000-0000E0090000}"/>
    <cellStyle name="s_P_L_Ratios_Sheraton Tampa AM Model 112805_Charles St Model - 2008.09.30" xfId="2555" xr:uid="{00000000-0005-0000-0000-0000E1090000}"/>
    <cellStyle name="s_P_L_Ratios_Sheraton Tampa AM Model 112805_Ridge Asset Managment Model 5.31.08v3" xfId="2556" xr:uid="{00000000-0005-0000-0000-0000E2090000}"/>
    <cellStyle name="s_P_L_Ratios_Sheraton Tampa AM Model 112805_Ridge Asset Managment Model 7.31.08" xfId="2557" xr:uid="{00000000-0005-0000-0000-0000E3090000}"/>
    <cellStyle name="s_P_L_Ratios_Sheraton Tampa AM Model 112805_Ridge Asset Managment Model Q1 Valuations" xfId="2558" xr:uid="{00000000-0005-0000-0000-0000E4090000}"/>
    <cellStyle name="s_P_L_Ratios_Sheraton Tampa AM Model 112805_Ridge Asset Managment Model Q2 Valuation" xfId="2559" xr:uid="{00000000-0005-0000-0000-0000E5090000}"/>
    <cellStyle name="s_P_L_Ratios_Sheraton Tampa AM Model 112805_Trimont Asset Management Model V1" xfId="2560" xr:uid="{00000000-0005-0000-0000-0000E6090000}"/>
    <cellStyle name="s_P_L_Ratios_Sheraton Tampa AM Model 112805_Trimont Asset Management Model V2" xfId="2561" xr:uid="{00000000-0005-0000-0000-0000E7090000}"/>
    <cellStyle name="s_P_L_Ratios_Sheraton Tampa AM Model 112805_Valuation Summary New Format wCapRateSensitivity v5" xfId="2562" xr:uid="{00000000-0005-0000-0000-0000E8090000}"/>
    <cellStyle name="s_P_L_Ratios_Sheraton Tampa AM Model 112805_Valuation Template Non Operaating Deal 06.12.08" xfId="2563" xr:uid="{00000000-0005-0000-0000-0000E9090000}"/>
    <cellStyle name="s_P_L_Ratios_Sheraton Tampa AM Model 112805_Valuation Template Operating Deal 06.10.08" xfId="2564" xr:uid="{00000000-0005-0000-0000-0000EA090000}"/>
    <cellStyle name="s_P_L_Ratios_SOSJ AM Model (w 06 Budget &amp; refi) 2-16-06" xfId="2565" xr:uid="{00000000-0005-0000-0000-0000EB090000}"/>
    <cellStyle name="s_P_L_Ratios_Trimont Asset Management Model V1" xfId="2566" xr:uid="{00000000-0005-0000-0000-0000EC090000}"/>
    <cellStyle name="s_P_L_Ratios_Trimont Asset Management Model V2" xfId="2567" xr:uid="{00000000-0005-0000-0000-0000ED090000}"/>
    <cellStyle name="s_P_L_Ratios_Valuation Summary New Format wCapRateSensitivity v5" xfId="2568" xr:uid="{00000000-0005-0000-0000-0000EE090000}"/>
    <cellStyle name="s_P_L_Ratios_Valuation Template Non Operaating Deal 06.12.08" xfId="2569" xr:uid="{00000000-0005-0000-0000-0000EF090000}"/>
    <cellStyle name="s_P_L_Ratios_Valuation Template Operating Deal 06.10.08" xfId="2570" xr:uid="{00000000-0005-0000-0000-0000F0090000}"/>
    <cellStyle name="s_S_By_S" xfId="2571" xr:uid="{00000000-0005-0000-0000-0000F1090000}"/>
    <cellStyle name="s_S_By_S_150 Charles Street model - 2007.12.20 - Valuation v4 Markup" xfId="2572" xr:uid="{00000000-0005-0000-0000-0000F2090000}"/>
    <cellStyle name="s_S_By_S_150 Charles Street model - 2008.01.31 - Reconciled" xfId="2573" xr:uid="{00000000-0005-0000-0000-0000F3090000}"/>
    <cellStyle name="s_S_By_S_Apartment Model" xfId="2574" xr:uid="{00000000-0005-0000-0000-0000F4090000}"/>
    <cellStyle name="s_S_By_S_Apartment Model 5.31.08v3" xfId="2575" xr:uid="{00000000-0005-0000-0000-0000F5090000}"/>
    <cellStyle name="s_S_By_S_Charles St Model - 2008.09.30" xfId="2576" xr:uid="{00000000-0005-0000-0000-0000F6090000}"/>
    <cellStyle name="s_S_By_S_Ridge Asset Managment Model 5.31.08v3" xfId="2577" xr:uid="{00000000-0005-0000-0000-0000F7090000}"/>
    <cellStyle name="s_S_By_S_Ridge Asset Managment Model 7.31.08" xfId="2578" xr:uid="{00000000-0005-0000-0000-0000F8090000}"/>
    <cellStyle name="s_S_By_S_Ridge Asset Managment Model Q1 Valuations" xfId="2579" xr:uid="{00000000-0005-0000-0000-0000F9090000}"/>
    <cellStyle name="s_S_By_S_Ridge Asset Managment Model Q2 Valuation" xfId="2580" xr:uid="{00000000-0005-0000-0000-0000FA090000}"/>
    <cellStyle name="s_S_By_S_Sheraton Tampa AM Model 112805" xfId="2581" xr:uid="{00000000-0005-0000-0000-0000FB090000}"/>
    <cellStyle name="s_S_By_S_Sheraton Tampa AM Model 112805_150 Charles Street model - 2007.12.20 - Valuation v4 Markup" xfId="2582" xr:uid="{00000000-0005-0000-0000-0000FC090000}"/>
    <cellStyle name="s_S_By_S_Sheraton Tampa AM Model 112805_150 Charles Street model - 2008.01.31 - Reconciled" xfId="2583" xr:uid="{00000000-0005-0000-0000-0000FD090000}"/>
    <cellStyle name="s_S_By_S_Sheraton Tampa AM Model 112805_Apartment Model" xfId="2584" xr:uid="{00000000-0005-0000-0000-0000FE090000}"/>
    <cellStyle name="s_S_By_S_Sheraton Tampa AM Model 112805_Apartment Model 5.31.08v3" xfId="2585" xr:uid="{00000000-0005-0000-0000-0000FF090000}"/>
    <cellStyle name="s_S_By_S_Sheraton Tampa AM Model 112805_Charles St Model - 2008.09.30" xfId="2586" xr:uid="{00000000-0005-0000-0000-0000000A0000}"/>
    <cellStyle name="s_S_By_S_Sheraton Tampa AM Model 112805_Ridge Asset Managment Model 5.31.08v3" xfId="2587" xr:uid="{00000000-0005-0000-0000-0000010A0000}"/>
    <cellStyle name="s_S_By_S_Sheraton Tampa AM Model 112805_Ridge Asset Managment Model 7.31.08" xfId="2588" xr:uid="{00000000-0005-0000-0000-0000020A0000}"/>
    <cellStyle name="s_S_By_S_Sheraton Tampa AM Model 112805_Ridge Asset Managment Model Q1 Valuations" xfId="2589" xr:uid="{00000000-0005-0000-0000-0000030A0000}"/>
    <cellStyle name="s_S_By_S_Sheraton Tampa AM Model 112805_Ridge Asset Managment Model Q2 Valuation" xfId="2590" xr:uid="{00000000-0005-0000-0000-0000040A0000}"/>
    <cellStyle name="s_S_By_S_Sheraton Tampa AM Model 112805_Trimont Asset Management Model V1" xfId="2591" xr:uid="{00000000-0005-0000-0000-0000050A0000}"/>
    <cellStyle name="s_S_By_S_Sheraton Tampa AM Model 112805_Trimont Asset Management Model V2" xfId="2592" xr:uid="{00000000-0005-0000-0000-0000060A0000}"/>
    <cellStyle name="s_S_By_S_Sheraton Tampa AM Model 112805_Valuation Summary New Format wCapRateSensitivity v5" xfId="2593" xr:uid="{00000000-0005-0000-0000-0000070A0000}"/>
    <cellStyle name="s_S_By_S_Sheraton Tampa AM Model 112805_Valuation Template Non Operaating Deal 06.12.08" xfId="2594" xr:uid="{00000000-0005-0000-0000-0000080A0000}"/>
    <cellStyle name="s_S_By_S_Sheraton Tampa AM Model 112805_Valuation Template Operating Deal 06.10.08" xfId="2595" xr:uid="{00000000-0005-0000-0000-0000090A0000}"/>
    <cellStyle name="s_S_By_S_SOSJ AM Model (w 06 Budget &amp; refi) 2-16-06" xfId="2596" xr:uid="{00000000-0005-0000-0000-00000A0A0000}"/>
    <cellStyle name="s_S_By_S_Trimont Asset Management Model V1" xfId="2597" xr:uid="{00000000-0005-0000-0000-00000B0A0000}"/>
    <cellStyle name="s_S_By_S_Trimont Asset Management Model V2" xfId="2598" xr:uid="{00000000-0005-0000-0000-00000C0A0000}"/>
    <cellStyle name="s_S_By_S_Valuation Summary New Format wCapRateSensitivity v5" xfId="2599" xr:uid="{00000000-0005-0000-0000-00000D0A0000}"/>
    <cellStyle name="s_S_By_S_Valuation Template Non Operaating Deal 06.12.08" xfId="2600" xr:uid="{00000000-0005-0000-0000-00000E0A0000}"/>
    <cellStyle name="s_S_By_S_Valuation Template Operating Deal 06.10.08" xfId="2601" xr:uid="{00000000-0005-0000-0000-00000F0A0000}"/>
    <cellStyle name="s_Sheet5" xfId="2602" xr:uid="{00000000-0005-0000-0000-0000100A0000}"/>
    <cellStyle name="s_Sheet5_150 Charles Street model - 2007.12.20 - Valuation v4 Markup" xfId="2603" xr:uid="{00000000-0005-0000-0000-0000110A0000}"/>
    <cellStyle name="s_Sheet5_150 Charles Street model - 2008.01.31 - Reconciled" xfId="2604" xr:uid="{00000000-0005-0000-0000-0000120A0000}"/>
    <cellStyle name="s_Sheet5_Apartment Model" xfId="2605" xr:uid="{00000000-0005-0000-0000-0000130A0000}"/>
    <cellStyle name="s_Sheet5_Apartment Model 5.31.08v3" xfId="2606" xr:uid="{00000000-0005-0000-0000-0000140A0000}"/>
    <cellStyle name="s_Sheet5_Charles St Model - 2008.09.30" xfId="2607" xr:uid="{00000000-0005-0000-0000-0000150A0000}"/>
    <cellStyle name="s_Sheet5_Ridge Asset Managment Model 5.31.08v3" xfId="2608" xr:uid="{00000000-0005-0000-0000-0000160A0000}"/>
    <cellStyle name="s_Sheet5_Ridge Asset Managment Model 7.31.08" xfId="2609" xr:uid="{00000000-0005-0000-0000-0000170A0000}"/>
    <cellStyle name="s_Sheet5_Ridge Asset Managment Model Q1 Valuations" xfId="2610" xr:uid="{00000000-0005-0000-0000-0000180A0000}"/>
    <cellStyle name="s_Sheet5_Ridge Asset Managment Model Q2 Valuation" xfId="2611" xr:uid="{00000000-0005-0000-0000-0000190A0000}"/>
    <cellStyle name="s_Sheet5_Sheraton Tampa AM Model 112805" xfId="2612" xr:uid="{00000000-0005-0000-0000-00001A0A0000}"/>
    <cellStyle name="s_Sheet5_Sheraton Tampa AM Model 112805_150 Charles Street model - 2007.12.20 - Valuation v4 Markup" xfId="2613" xr:uid="{00000000-0005-0000-0000-00001B0A0000}"/>
    <cellStyle name="s_Sheet5_Sheraton Tampa AM Model 112805_150 Charles Street model - 2008.01.31 - Reconciled" xfId="2614" xr:uid="{00000000-0005-0000-0000-00001C0A0000}"/>
    <cellStyle name="s_Sheet5_Sheraton Tampa AM Model 112805_Apartment Model" xfId="2615" xr:uid="{00000000-0005-0000-0000-00001D0A0000}"/>
    <cellStyle name="s_Sheet5_Sheraton Tampa AM Model 112805_Apartment Model 5.31.08v3" xfId="2616" xr:uid="{00000000-0005-0000-0000-00001E0A0000}"/>
    <cellStyle name="s_Sheet5_Sheraton Tampa AM Model 112805_Charles St Model - 2008.09.30" xfId="2617" xr:uid="{00000000-0005-0000-0000-00001F0A0000}"/>
    <cellStyle name="s_Sheet5_Sheraton Tampa AM Model 112805_Ridge Asset Managment Model 5.31.08v3" xfId="2618" xr:uid="{00000000-0005-0000-0000-0000200A0000}"/>
    <cellStyle name="s_Sheet5_Sheraton Tampa AM Model 112805_Ridge Asset Managment Model 7.31.08" xfId="2619" xr:uid="{00000000-0005-0000-0000-0000210A0000}"/>
    <cellStyle name="s_Sheet5_Sheraton Tampa AM Model 112805_Ridge Asset Managment Model Q1 Valuations" xfId="2620" xr:uid="{00000000-0005-0000-0000-0000220A0000}"/>
    <cellStyle name="s_Sheet5_Sheraton Tampa AM Model 112805_Ridge Asset Managment Model Q2 Valuation" xfId="2621" xr:uid="{00000000-0005-0000-0000-0000230A0000}"/>
    <cellStyle name="s_Sheet5_Sheraton Tampa AM Model 112805_Trimont Asset Management Model V1" xfId="2622" xr:uid="{00000000-0005-0000-0000-0000240A0000}"/>
    <cellStyle name="s_Sheet5_Sheraton Tampa AM Model 112805_Trimont Asset Management Model V2" xfId="2623" xr:uid="{00000000-0005-0000-0000-0000250A0000}"/>
    <cellStyle name="s_Sheet5_Sheraton Tampa AM Model 112805_Valuation Summary New Format wCapRateSensitivity v5" xfId="2624" xr:uid="{00000000-0005-0000-0000-0000260A0000}"/>
    <cellStyle name="s_Sheet5_Sheraton Tampa AM Model 112805_Valuation Template Non Operaating Deal 06.12.08" xfId="2625" xr:uid="{00000000-0005-0000-0000-0000270A0000}"/>
    <cellStyle name="s_Sheet5_Sheraton Tampa AM Model 112805_Valuation Template Operating Deal 06.10.08" xfId="2626" xr:uid="{00000000-0005-0000-0000-0000280A0000}"/>
    <cellStyle name="s_Sheet5_SOSJ AM Model (w 06 Budget &amp; refi) 2-16-06" xfId="2627" xr:uid="{00000000-0005-0000-0000-0000290A0000}"/>
    <cellStyle name="s_Sheet5_Trimont Asset Management Model V1" xfId="2628" xr:uid="{00000000-0005-0000-0000-00002A0A0000}"/>
    <cellStyle name="s_Sheet5_Trimont Asset Management Model V2" xfId="2629" xr:uid="{00000000-0005-0000-0000-00002B0A0000}"/>
    <cellStyle name="s_Sheet5_Valuation Summary New Format wCapRateSensitivity v5" xfId="2630" xr:uid="{00000000-0005-0000-0000-00002C0A0000}"/>
    <cellStyle name="s_Sheet5_Valuation Template Non Operaating Deal 06.12.08" xfId="2631" xr:uid="{00000000-0005-0000-0000-00002D0A0000}"/>
    <cellStyle name="s_Sheet5_Valuation Template Operating Deal 06.10.08" xfId="2632" xr:uid="{00000000-0005-0000-0000-00002E0A0000}"/>
    <cellStyle name="s_Valuation " xfId="2633" xr:uid="{00000000-0005-0000-0000-00002F0A0000}"/>
    <cellStyle name="s_Valuation _150 Charles Street model - 2007.12.20 - Valuation v4 Markup" xfId="2634" xr:uid="{00000000-0005-0000-0000-0000300A0000}"/>
    <cellStyle name="s_Valuation _150 Charles Street model - 2008.01.31 - Reconciled" xfId="2635" xr:uid="{00000000-0005-0000-0000-0000310A0000}"/>
    <cellStyle name="s_Valuation _Apartment Model" xfId="2636" xr:uid="{00000000-0005-0000-0000-0000320A0000}"/>
    <cellStyle name="s_Valuation _Apartment Model 5.31.08v3" xfId="2637" xr:uid="{00000000-0005-0000-0000-0000330A0000}"/>
    <cellStyle name="s_Valuation _Charles St Model - 2008.09.30" xfId="2638" xr:uid="{00000000-0005-0000-0000-0000340A0000}"/>
    <cellStyle name="s_Valuation _Ridge Asset Managment Model 5.31.08v3" xfId="2639" xr:uid="{00000000-0005-0000-0000-0000350A0000}"/>
    <cellStyle name="s_Valuation _Ridge Asset Managment Model 7.31.08" xfId="2640" xr:uid="{00000000-0005-0000-0000-0000360A0000}"/>
    <cellStyle name="s_Valuation _Ridge Asset Managment Model Q1 Valuations" xfId="2641" xr:uid="{00000000-0005-0000-0000-0000370A0000}"/>
    <cellStyle name="s_Valuation _Ridge Asset Managment Model Q2 Valuation" xfId="2642" xr:uid="{00000000-0005-0000-0000-0000380A0000}"/>
    <cellStyle name="s_Valuation _Sheraton Tampa AM Model 112805" xfId="2643" xr:uid="{00000000-0005-0000-0000-0000390A0000}"/>
    <cellStyle name="s_Valuation _Sheraton Tampa AM Model 112805_150 Charles Street model - 2007.12.20 - Valuation v4 Markup" xfId="2644" xr:uid="{00000000-0005-0000-0000-00003A0A0000}"/>
    <cellStyle name="s_Valuation _Sheraton Tampa AM Model 112805_150 Charles Street model - 2008.01.31 - Reconciled" xfId="2645" xr:uid="{00000000-0005-0000-0000-00003B0A0000}"/>
    <cellStyle name="s_Valuation _Sheraton Tampa AM Model 112805_Apartment Model" xfId="2646" xr:uid="{00000000-0005-0000-0000-00003C0A0000}"/>
    <cellStyle name="s_Valuation _Sheraton Tampa AM Model 112805_Apartment Model 5.31.08v3" xfId="2647" xr:uid="{00000000-0005-0000-0000-00003D0A0000}"/>
    <cellStyle name="s_Valuation _Sheraton Tampa AM Model 112805_Charles St Model - 2008.09.30" xfId="2648" xr:uid="{00000000-0005-0000-0000-00003E0A0000}"/>
    <cellStyle name="s_Valuation _Sheraton Tampa AM Model 112805_Ridge Asset Managment Model 5.31.08v3" xfId="2649" xr:uid="{00000000-0005-0000-0000-00003F0A0000}"/>
    <cellStyle name="s_Valuation _Sheraton Tampa AM Model 112805_Ridge Asset Managment Model 7.31.08" xfId="2650" xr:uid="{00000000-0005-0000-0000-0000400A0000}"/>
    <cellStyle name="s_Valuation _Sheraton Tampa AM Model 112805_Ridge Asset Managment Model Q1 Valuations" xfId="2651" xr:uid="{00000000-0005-0000-0000-0000410A0000}"/>
    <cellStyle name="s_Valuation _Sheraton Tampa AM Model 112805_Ridge Asset Managment Model Q2 Valuation" xfId="2652" xr:uid="{00000000-0005-0000-0000-0000420A0000}"/>
    <cellStyle name="s_Valuation _Sheraton Tampa AM Model 112805_Trimont Asset Management Model V1" xfId="2653" xr:uid="{00000000-0005-0000-0000-0000430A0000}"/>
    <cellStyle name="s_Valuation _Sheraton Tampa AM Model 112805_Trimont Asset Management Model V2" xfId="2654" xr:uid="{00000000-0005-0000-0000-0000440A0000}"/>
    <cellStyle name="s_Valuation _Sheraton Tampa AM Model 112805_Valuation Summary New Format wCapRateSensitivity v5" xfId="2655" xr:uid="{00000000-0005-0000-0000-0000450A0000}"/>
    <cellStyle name="s_Valuation _Sheraton Tampa AM Model 112805_Valuation Template Non Operaating Deal 06.12.08" xfId="2656" xr:uid="{00000000-0005-0000-0000-0000460A0000}"/>
    <cellStyle name="s_Valuation _Sheraton Tampa AM Model 112805_Valuation Template Operating Deal 06.10.08" xfId="2657" xr:uid="{00000000-0005-0000-0000-0000470A0000}"/>
    <cellStyle name="s_Valuation _SOSJ AM Model (w 06 Budget &amp; refi) 2-16-06" xfId="2658" xr:uid="{00000000-0005-0000-0000-0000480A0000}"/>
    <cellStyle name="s_Valuation _Trimont Asset Management Model V1" xfId="2659" xr:uid="{00000000-0005-0000-0000-0000490A0000}"/>
    <cellStyle name="s_Valuation _Trimont Asset Management Model V2" xfId="2660" xr:uid="{00000000-0005-0000-0000-00004A0A0000}"/>
    <cellStyle name="s_Valuation _Valuation Summary New Format wCapRateSensitivity v5" xfId="2661" xr:uid="{00000000-0005-0000-0000-00004B0A0000}"/>
    <cellStyle name="s_Valuation _Valuation Template Non Operaating Deal 06.12.08" xfId="2662" xr:uid="{00000000-0005-0000-0000-00004C0A0000}"/>
    <cellStyle name="s_Valuation _Valuation Template Operating Deal 06.10.08" xfId="2663" xr:uid="{00000000-0005-0000-0000-00004D0A0000}"/>
    <cellStyle name="ScotchRule" xfId="2664" xr:uid="{00000000-0005-0000-0000-00004E0A0000}"/>
    <cellStyle name="sd" xfId="2665" xr:uid="{00000000-0005-0000-0000-00004F0A0000}"/>
    <cellStyle name="sf" xfId="2666" xr:uid="{00000000-0005-0000-0000-0000500A0000}"/>
    <cellStyle name="Shaded" xfId="2667" xr:uid="{00000000-0005-0000-0000-0000510A0000}"/>
    <cellStyle name="Shading" xfId="2668" xr:uid="{00000000-0005-0000-0000-0000520A0000}"/>
    <cellStyle name="Short $" xfId="2669" xr:uid="{00000000-0005-0000-0000-0000530A0000}"/>
    <cellStyle name="Single Accounting" xfId="2670" xr:uid="{00000000-0005-0000-0000-0000540A0000}"/>
    <cellStyle name="souli" xfId="2671" xr:uid="{00000000-0005-0000-0000-0000550A0000}"/>
    <cellStyle name="SpecialHeader" xfId="76" xr:uid="{00000000-0005-0000-0000-0000560A0000}"/>
    <cellStyle name="ss" xfId="2672" xr:uid="{00000000-0005-0000-0000-0000570A0000}"/>
    <cellStyle name="SS Col Hdr" xfId="2673" xr:uid="{00000000-0005-0000-0000-0000580A0000}"/>
    <cellStyle name="SS Dim 1 Blank" xfId="2674" xr:uid="{00000000-0005-0000-0000-0000590A0000}"/>
    <cellStyle name="SS Dim 1 Title" xfId="2675" xr:uid="{00000000-0005-0000-0000-00005A0A0000}"/>
    <cellStyle name="SS Dim 1 Value" xfId="2676" xr:uid="{00000000-0005-0000-0000-00005B0A0000}"/>
    <cellStyle name="SS Dim 2 Blank" xfId="2677" xr:uid="{00000000-0005-0000-0000-00005C0A0000}"/>
    <cellStyle name="SS Dim 2 Title" xfId="2678" xr:uid="{00000000-0005-0000-0000-00005D0A0000}"/>
    <cellStyle name="SS Dim 2 Value" xfId="2679" xr:uid="{00000000-0005-0000-0000-00005E0A0000}"/>
    <cellStyle name="SS Dim 3 Blank" xfId="2680" xr:uid="{00000000-0005-0000-0000-00005F0A0000}"/>
    <cellStyle name="SS Dim 3 Title" xfId="2681" xr:uid="{00000000-0005-0000-0000-0000600A0000}"/>
    <cellStyle name="SS Dim 3 Value" xfId="2682" xr:uid="{00000000-0005-0000-0000-0000610A0000}"/>
    <cellStyle name="SS Dim 4 Blank" xfId="2683" xr:uid="{00000000-0005-0000-0000-0000620A0000}"/>
    <cellStyle name="SS Dim 4 Title" xfId="2684" xr:uid="{00000000-0005-0000-0000-0000630A0000}"/>
    <cellStyle name="SS Dim 4 Value" xfId="2685" xr:uid="{00000000-0005-0000-0000-0000640A0000}"/>
    <cellStyle name="SS Dim 5 Blank" xfId="2686" xr:uid="{00000000-0005-0000-0000-0000650A0000}"/>
    <cellStyle name="SS Dim 5 Title" xfId="2687" xr:uid="{00000000-0005-0000-0000-0000660A0000}"/>
    <cellStyle name="SS Dim 5 Value" xfId="2688" xr:uid="{00000000-0005-0000-0000-0000670A0000}"/>
    <cellStyle name="SS Other Measure" xfId="2689" xr:uid="{00000000-0005-0000-0000-0000680A0000}"/>
    <cellStyle name="SS Sum Measure" xfId="2690" xr:uid="{00000000-0005-0000-0000-0000690A0000}"/>
    <cellStyle name="SS Unbound Dim" xfId="2691" xr:uid="{00000000-0005-0000-0000-00006A0A0000}"/>
    <cellStyle name="SS WAvg Measure" xfId="2692" xr:uid="{00000000-0005-0000-0000-00006B0A0000}"/>
    <cellStyle name="Standard_SOURCE 02" xfId="2693" xr:uid="{00000000-0005-0000-0000-00006C0A0000}"/>
    <cellStyle name="STYL1 - Style1" xfId="2694" xr:uid="{00000000-0005-0000-0000-00006D0A0000}"/>
    <cellStyle name="STYL2 - Style2" xfId="2695" xr:uid="{00000000-0005-0000-0000-00006E0A0000}"/>
    <cellStyle name="STYL3 - Style3" xfId="2696" xr:uid="{00000000-0005-0000-0000-00006F0A0000}"/>
    <cellStyle name="STYL3 - Style3 2" xfId="2697" xr:uid="{00000000-0005-0000-0000-0000700A0000}"/>
    <cellStyle name="STYL4 - Style4" xfId="2698" xr:uid="{00000000-0005-0000-0000-0000710A0000}"/>
    <cellStyle name="STYL4 - Style4 2" xfId="2699" xr:uid="{00000000-0005-0000-0000-0000720A0000}"/>
    <cellStyle name="STYL5 - Style5" xfId="2700" xr:uid="{00000000-0005-0000-0000-0000730A0000}"/>
    <cellStyle name="STYL6 - Style6" xfId="2701" xr:uid="{00000000-0005-0000-0000-0000740A0000}"/>
    <cellStyle name="STYL6 - Style6 2" xfId="2702" xr:uid="{00000000-0005-0000-0000-0000750A0000}"/>
    <cellStyle name="Style 1" xfId="2703" xr:uid="{00000000-0005-0000-0000-0000760A0000}"/>
    <cellStyle name="Style 2" xfId="2704" xr:uid="{00000000-0005-0000-0000-0000770A0000}"/>
    <cellStyle name="Style 22" xfId="2705" xr:uid="{00000000-0005-0000-0000-0000780A0000}"/>
    <cellStyle name="Style 227" xfId="2706" xr:uid="{00000000-0005-0000-0000-0000790A0000}"/>
    <cellStyle name="Style 228" xfId="2707" xr:uid="{00000000-0005-0000-0000-00007A0A0000}"/>
    <cellStyle name="Style 228 2" xfId="2708" xr:uid="{00000000-0005-0000-0000-00007B0A0000}"/>
    <cellStyle name="Style 229" xfId="2709" xr:uid="{00000000-0005-0000-0000-00007C0A0000}"/>
    <cellStyle name="Style 229 2" xfId="2710" xr:uid="{00000000-0005-0000-0000-00007D0A0000}"/>
    <cellStyle name="Style 23" xfId="2711" xr:uid="{00000000-0005-0000-0000-00007E0A0000}"/>
    <cellStyle name="Style 230" xfId="2712" xr:uid="{00000000-0005-0000-0000-00007F0A0000}"/>
    <cellStyle name="Style 230 2" xfId="2713" xr:uid="{00000000-0005-0000-0000-0000800A0000}"/>
    <cellStyle name="Style 231" xfId="2714" xr:uid="{00000000-0005-0000-0000-0000810A0000}"/>
    <cellStyle name="Style 231 2" xfId="2715" xr:uid="{00000000-0005-0000-0000-0000820A0000}"/>
    <cellStyle name="Style 232" xfId="2716" xr:uid="{00000000-0005-0000-0000-0000830A0000}"/>
    <cellStyle name="Style 233" xfId="2717" xr:uid="{00000000-0005-0000-0000-0000840A0000}"/>
    <cellStyle name="Style 234" xfId="2718" xr:uid="{00000000-0005-0000-0000-0000850A0000}"/>
    <cellStyle name="Style 235" xfId="2719" xr:uid="{00000000-0005-0000-0000-0000860A0000}"/>
    <cellStyle name="Style 236" xfId="2720" xr:uid="{00000000-0005-0000-0000-0000870A0000}"/>
    <cellStyle name="Style 237" xfId="2721" xr:uid="{00000000-0005-0000-0000-0000880A0000}"/>
    <cellStyle name="Style 238" xfId="2722" xr:uid="{00000000-0005-0000-0000-0000890A0000}"/>
    <cellStyle name="Style 239" xfId="2723" xr:uid="{00000000-0005-0000-0000-00008A0A0000}"/>
    <cellStyle name="Style 24" xfId="2724" xr:uid="{00000000-0005-0000-0000-00008B0A0000}"/>
    <cellStyle name="Style 240" xfId="2725" xr:uid="{00000000-0005-0000-0000-00008C0A0000}"/>
    <cellStyle name="Style 241" xfId="2726" xr:uid="{00000000-0005-0000-0000-00008D0A0000}"/>
    <cellStyle name="Style 242" xfId="2727" xr:uid="{00000000-0005-0000-0000-00008E0A0000}"/>
    <cellStyle name="Style 243" xfId="2728" xr:uid="{00000000-0005-0000-0000-00008F0A0000}"/>
    <cellStyle name="Style 244" xfId="2729" xr:uid="{00000000-0005-0000-0000-0000900A0000}"/>
    <cellStyle name="Style 245" xfId="2730" xr:uid="{00000000-0005-0000-0000-0000910A0000}"/>
    <cellStyle name="Style 246" xfId="2731" xr:uid="{00000000-0005-0000-0000-0000920A0000}"/>
    <cellStyle name="Style 247" xfId="2732" xr:uid="{00000000-0005-0000-0000-0000930A0000}"/>
    <cellStyle name="Style 248" xfId="2733" xr:uid="{00000000-0005-0000-0000-0000940A0000}"/>
    <cellStyle name="Style 249" xfId="2734" xr:uid="{00000000-0005-0000-0000-0000950A0000}"/>
    <cellStyle name="Style 250" xfId="2735" xr:uid="{00000000-0005-0000-0000-0000960A0000}"/>
    <cellStyle name="Style 251" xfId="2736" xr:uid="{00000000-0005-0000-0000-0000970A0000}"/>
    <cellStyle name="Style 252" xfId="2737" xr:uid="{00000000-0005-0000-0000-0000980A0000}"/>
    <cellStyle name="Style 252 2" xfId="2738" xr:uid="{00000000-0005-0000-0000-0000990A0000}"/>
    <cellStyle name="Style 253" xfId="2739" xr:uid="{00000000-0005-0000-0000-00009A0A0000}"/>
    <cellStyle name="Style 253 2" xfId="2740" xr:uid="{00000000-0005-0000-0000-00009B0A0000}"/>
    <cellStyle name="Style 254" xfId="2741" xr:uid="{00000000-0005-0000-0000-00009C0A0000}"/>
    <cellStyle name="Style 254 2" xfId="2742" xr:uid="{00000000-0005-0000-0000-00009D0A0000}"/>
    <cellStyle name="Style 255" xfId="2743" xr:uid="{00000000-0005-0000-0000-00009E0A0000}"/>
    <cellStyle name="Style 255 2" xfId="2744" xr:uid="{00000000-0005-0000-0000-00009F0A0000}"/>
    <cellStyle name="Style 256" xfId="2745" xr:uid="{00000000-0005-0000-0000-0000A00A0000}"/>
    <cellStyle name="Style 256 2" xfId="2746" xr:uid="{00000000-0005-0000-0000-0000A10A0000}"/>
    <cellStyle name="Style 257" xfId="2747" xr:uid="{00000000-0005-0000-0000-0000A20A0000}"/>
    <cellStyle name="Style 257 2" xfId="2748" xr:uid="{00000000-0005-0000-0000-0000A30A0000}"/>
    <cellStyle name="Style 258" xfId="2749" xr:uid="{00000000-0005-0000-0000-0000A40A0000}"/>
    <cellStyle name="Style 258 2" xfId="2750" xr:uid="{00000000-0005-0000-0000-0000A50A0000}"/>
    <cellStyle name="Style 259" xfId="2751" xr:uid="{00000000-0005-0000-0000-0000A60A0000}"/>
    <cellStyle name="Style 259 2" xfId="2752" xr:uid="{00000000-0005-0000-0000-0000A70A0000}"/>
    <cellStyle name="Style 260" xfId="2753" xr:uid="{00000000-0005-0000-0000-0000A80A0000}"/>
    <cellStyle name="Style 260 2" xfId="2754" xr:uid="{00000000-0005-0000-0000-0000A90A0000}"/>
    <cellStyle name="Style 307" xfId="2755" xr:uid="{00000000-0005-0000-0000-0000AA0A0000}"/>
    <cellStyle name="Style 308" xfId="2756" xr:uid="{00000000-0005-0000-0000-0000AB0A0000}"/>
    <cellStyle name="Style 308 2" xfId="2757" xr:uid="{00000000-0005-0000-0000-0000AC0A0000}"/>
    <cellStyle name="Style 309" xfId="2758" xr:uid="{00000000-0005-0000-0000-0000AD0A0000}"/>
    <cellStyle name="Style 309 2" xfId="2759" xr:uid="{00000000-0005-0000-0000-0000AE0A0000}"/>
    <cellStyle name="Style 310" xfId="2760" xr:uid="{00000000-0005-0000-0000-0000AF0A0000}"/>
    <cellStyle name="Style 310 2" xfId="2761" xr:uid="{00000000-0005-0000-0000-0000B00A0000}"/>
    <cellStyle name="Style 311" xfId="2762" xr:uid="{00000000-0005-0000-0000-0000B10A0000}"/>
    <cellStyle name="Style 311 2" xfId="2763" xr:uid="{00000000-0005-0000-0000-0000B20A0000}"/>
    <cellStyle name="Style 312" xfId="2764" xr:uid="{00000000-0005-0000-0000-0000B30A0000}"/>
    <cellStyle name="Style 313" xfId="2765" xr:uid="{00000000-0005-0000-0000-0000B40A0000}"/>
    <cellStyle name="Style 314" xfId="2766" xr:uid="{00000000-0005-0000-0000-0000B50A0000}"/>
    <cellStyle name="Style 315" xfId="2767" xr:uid="{00000000-0005-0000-0000-0000B60A0000}"/>
    <cellStyle name="Style 316" xfId="2768" xr:uid="{00000000-0005-0000-0000-0000B70A0000}"/>
    <cellStyle name="Style 317" xfId="2769" xr:uid="{00000000-0005-0000-0000-0000B80A0000}"/>
    <cellStyle name="Style 318" xfId="2770" xr:uid="{00000000-0005-0000-0000-0000B90A0000}"/>
    <cellStyle name="Style 319" xfId="2771" xr:uid="{00000000-0005-0000-0000-0000BA0A0000}"/>
    <cellStyle name="Style 320" xfId="2772" xr:uid="{00000000-0005-0000-0000-0000BB0A0000}"/>
    <cellStyle name="Style 320 2" xfId="2773" xr:uid="{00000000-0005-0000-0000-0000BC0A0000}"/>
    <cellStyle name="Style 321" xfId="2774" xr:uid="{00000000-0005-0000-0000-0000BD0A0000}"/>
    <cellStyle name="Style 321 2" xfId="2775" xr:uid="{00000000-0005-0000-0000-0000BE0A0000}"/>
    <cellStyle name="Style 322" xfId="2776" xr:uid="{00000000-0005-0000-0000-0000BF0A0000}"/>
    <cellStyle name="Style 322 2" xfId="2777" xr:uid="{00000000-0005-0000-0000-0000C00A0000}"/>
    <cellStyle name="Style 351" xfId="2778" xr:uid="{00000000-0005-0000-0000-0000C10A0000}"/>
    <cellStyle name="Style 352" xfId="2779" xr:uid="{00000000-0005-0000-0000-0000C20A0000}"/>
    <cellStyle name="Style 352 2" xfId="2780" xr:uid="{00000000-0005-0000-0000-0000C30A0000}"/>
    <cellStyle name="Style 353" xfId="2781" xr:uid="{00000000-0005-0000-0000-0000C40A0000}"/>
    <cellStyle name="Style 353 2" xfId="2782" xr:uid="{00000000-0005-0000-0000-0000C50A0000}"/>
    <cellStyle name="Style 354" xfId="2783" xr:uid="{00000000-0005-0000-0000-0000C60A0000}"/>
    <cellStyle name="Style 354 2" xfId="2784" xr:uid="{00000000-0005-0000-0000-0000C70A0000}"/>
    <cellStyle name="Style 355" xfId="2785" xr:uid="{00000000-0005-0000-0000-0000C80A0000}"/>
    <cellStyle name="Style 355 2" xfId="2786" xr:uid="{00000000-0005-0000-0000-0000C90A0000}"/>
    <cellStyle name="Style 356" xfId="2787" xr:uid="{00000000-0005-0000-0000-0000CA0A0000}"/>
    <cellStyle name="Style 357" xfId="2788" xr:uid="{00000000-0005-0000-0000-0000CB0A0000}"/>
    <cellStyle name="Style 358" xfId="2789" xr:uid="{00000000-0005-0000-0000-0000CC0A0000}"/>
    <cellStyle name="Style 359" xfId="2790" xr:uid="{00000000-0005-0000-0000-0000CD0A0000}"/>
    <cellStyle name="Style 360" xfId="2791" xr:uid="{00000000-0005-0000-0000-0000CE0A0000}"/>
    <cellStyle name="Style 361" xfId="2792" xr:uid="{00000000-0005-0000-0000-0000CF0A0000}"/>
    <cellStyle name="Style 362" xfId="2793" xr:uid="{00000000-0005-0000-0000-0000D00A0000}"/>
    <cellStyle name="Style 363" xfId="2794" xr:uid="{00000000-0005-0000-0000-0000D10A0000}"/>
    <cellStyle name="Style 364" xfId="2795" xr:uid="{00000000-0005-0000-0000-0000D20A0000}"/>
    <cellStyle name="Style 364 2" xfId="2796" xr:uid="{00000000-0005-0000-0000-0000D30A0000}"/>
    <cellStyle name="Style 365" xfId="2797" xr:uid="{00000000-0005-0000-0000-0000D40A0000}"/>
    <cellStyle name="Style 366" xfId="2798" xr:uid="{00000000-0005-0000-0000-0000D50A0000}"/>
    <cellStyle name="Style 367" xfId="2799" xr:uid="{00000000-0005-0000-0000-0000D60A0000}"/>
    <cellStyle name="Style 368" xfId="2800" xr:uid="{00000000-0005-0000-0000-0000D70A0000}"/>
    <cellStyle name="Style 369" xfId="2801" xr:uid="{00000000-0005-0000-0000-0000D80A0000}"/>
    <cellStyle name="Style 370" xfId="2802" xr:uid="{00000000-0005-0000-0000-0000D90A0000}"/>
    <cellStyle name="Style 371" xfId="2803" xr:uid="{00000000-0005-0000-0000-0000DA0A0000}"/>
    <cellStyle name="Style 372" xfId="2804" xr:uid="{00000000-0005-0000-0000-0000DB0A0000}"/>
    <cellStyle name="Style 373" xfId="2805" xr:uid="{00000000-0005-0000-0000-0000DC0A0000}"/>
    <cellStyle name="Style 374" xfId="2806" xr:uid="{00000000-0005-0000-0000-0000DD0A0000}"/>
    <cellStyle name="Style 375" xfId="2807" xr:uid="{00000000-0005-0000-0000-0000DE0A0000}"/>
    <cellStyle name="Style 376" xfId="2808" xr:uid="{00000000-0005-0000-0000-0000DF0A0000}"/>
    <cellStyle name="Style 377" xfId="2809" xr:uid="{00000000-0005-0000-0000-0000E00A0000}"/>
    <cellStyle name="Style 378" xfId="2810" xr:uid="{00000000-0005-0000-0000-0000E10A0000}"/>
    <cellStyle name="Style 379" xfId="2811" xr:uid="{00000000-0005-0000-0000-0000E20A0000}"/>
    <cellStyle name="Style 380" xfId="2812" xr:uid="{00000000-0005-0000-0000-0000E30A0000}"/>
    <cellStyle name="Style 381" xfId="2813" xr:uid="{00000000-0005-0000-0000-0000E40A0000}"/>
    <cellStyle name="Style 382" xfId="2814" xr:uid="{00000000-0005-0000-0000-0000E50A0000}"/>
    <cellStyle name="Style 382 2" xfId="2815" xr:uid="{00000000-0005-0000-0000-0000E60A0000}"/>
    <cellStyle name="Style 383" xfId="2816" xr:uid="{00000000-0005-0000-0000-0000E70A0000}"/>
    <cellStyle name="Style 384" xfId="2817" xr:uid="{00000000-0005-0000-0000-0000E80A0000}"/>
    <cellStyle name="Style 384 2" xfId="2818" xr:uid="{00000000-0005-0000-0000-0000E90A0000}"/>
    <cellStyle name="Style 385" xfId="2819" xr:uid="{00000000-0005-0000-0000-0000EA0A0000}"/>
    <cellStyle name="Style 385 2" xfId="2820" xr:uid="{00000000-0005-0000-0000-0000EB0A0000}"/>
    <cellStyle name="Style 386" xfId="2821" xr:uid="{00000000-0005-0000-0000-0000EC0A0000}"/>
    <cellStyle name="Style 386 2" xfId="2822" xr:uid="{00000000-0005-0000-0000-0000ED0A0000}"/>
    <cellStyle name="Style 387" xfId="2823" xr:uid="{00000000-0005-0000-0000-0000EE0A0000}"/>
    <cellStyle name="Style 387 2" xfId="2824" xr:uid="{00000000-0005-0000-0000-0000EF0A0000}"/>
    <cellStyle name="Style 388" xfId="2825" xr:uid="{00000000-0005-0000-0000-0000F00A0000}"/>
    <cellStyle name="Style 388 2" xfId="2826" xr:uid="{00000000-0005-0000-0000-0000F10A0000}"/>
    <cellStyle name="Style 390" xfId="2827" xr:uid="{00000000-0005-0000-0000-0000F20A0000}"/>
    <cellStyle name="Style 391" xfId="2828" xr:uid="{00000000-0005-0000-0000-0000F30A0000}"/>
    <cellStyle name="Style 391 2" xfId="2829" xr:uid="{00000000-0005-0000-0000-0000F40A0000}"/>
    <cellStyle name="Style 391 3" xfId="2830" xr:uid="{00000000-0005-0000-0000-0000F50A0000}"/>
    <cellStyle name="Style 392" xfId="2831" xr:uid="{00000000-0005-0000-0000-0000F60A0000}"/>
    <cellStyle name="Style 392 2" xfId="2832" xr:uid="{00000000-0005-0000-0000-0000F70A0000}"/>
    <cellStyle name="Style 393" xfId="2833" xr:uid="{00000000-0005-0000-0000-0000F80A0000}"/>
    <cellStyle name="Style 393 2" xfId="2834" xr:uid="{00000000-0005-0000-0000-0000F90A0000}"/>
    <cellStyle name="Style 394" xfId="2835" xr:uid="{00000000-0005-0000-0000-0000FA0A0000}"/>
    <cellStyle name="Style 394 2" xfId="2836" xr:uid="{00000000-0005-0000-0000-0000FB0A0000}"/>
    <cellStyle name="Style 395" xfId="2837" xr:uid="{00000000-0005-0000-0000-0000FC0A0000}"/>
    <cellStyle name="Style 395 2" xfId="2838" xr:uid="{00000000-0005-0000-0000-0000FD0A0000}"/>
    <cellStyle name="Style 396" xfId="2839" xr:uid="{00000000-0005-0000-0000-0000FE0A0000}"/>
    <cellStyle name="Style 397" xfId="2840" xr:uid="{00000000-0005-0000-0000-0000FF0A0000}"/>
    <cellStyle name="Style 398" xfId="2841" xr:uid="{00000000-0005-0000-0000-0000000B0000}"/>
    <cellStyle name="Style 399" xfId="2842" xr:uid="{00000000-0005-0000-0000-0000010B0000}"/>
    <cellStyle name="Style 400" xfId="2843" xr:uid="{00000000-0005-0000-0000-0000020B0000}"/>
    <cellStyle name="Style 401" xfId="2844" xr:uid="{00000000-0005-0000-0000-0000030B0000}"/>
    <cellStyle name="Style 402" xfId="2845" xr:uid="{00000000-0005-0000-0000-0000040B0000}"/>
    <cellStyle name="Style 403" xfId="2846" xr:uid="{00000000-0005-0000-0000-0000050B0000}"/>
    <cellStyle name="Style 404" xfId="2847" xr:uid="{00000000-0005-0000-0000-0000060B0000}"/>
    <cellStyle name="Style 405" xfId="2848" xr:uid="{00000000-0005-0000-0000-0000070B0000}"/>
    <cellStyle name="Style 406" xfId="2849" xr:uid="{00000000-0005-0000-0000-0000080B0000}"/>
    <cellStyle name="Style 407" xfId="2850" xr:uid="{00000000-0005-0000-0000-0000090B0000}"/>
    <cellStyle name="Style 408" xfId="2851" xr:uid="{00000000-0005-0000-0000-00000A0B0000}"/>
    <cellStyle name="Style 409" xfId="2852" xr:uid="{00000000-0005-0000-0000-00000B0B0000}"/>
    <cellStyle name="Style 410" xfId="2853" xr:uid="{00000000-0005-0000-0000-00000C0B0000}"/>
    <cellStyle name="Style 410 2" xfId="2854" xr:uid="{00000000-0005-0000-0000-00000D0B0000}"/>
    <cellStyle name="Style 411" xfId="2855" xr:uid="{00000000-0005-0000-0000-00000E0B0000}"/>
    <cellStyle name="Style 435" xfId="2856" xr:uid="{00000000-0005-0000-0000-00000F0B0000}"/>
    <cellStyle name="Style 436" xfId="2857" xr:uid="{00000000-0005-0000-0000-0000100B0000}"/>
    <cellStyle name="Style 436 2" xfId="2858" xr:uid="{00000000-0005-0000-0000-0000110B0000}"/>
    <cellStyle name="Style 437" xfId="2859" xr:uid="{00000000-0005-0000-0000-0000120B0000}"/>
    <cellStyle name="Style 437 2" xfId="2860" xr:uid="{00000000-0005-0000-0000-0000130B0000}"/>
    <cellStyle name="Style 438" xfId="2861" xr:uid="{00000000-0005-0000-0000-0000140B0000}"/>
    <cellStyle name="Style 438 2" xfId="2862" xr:uid="{00000000-0005-0000-0000-0000150B0000}"/>
    <cellStyle name="Style 439" xfId="2863" xr:uid="{00000000-0005-0000-0000-0000160B0000}"/>
    <cellStyle name="Style 439 2" xfId="2864" xr:uid="{00000000-0005-0000-0000-0000170B0000}"/>
    <cellStyle name="Style 440" xfId="2865" xr:uid="{00000000-0005-0000-0000-0000180B0000}"/>
    <cellStyle name="Style 441" xfId="2866" xr:uid="{00000000-0005-0000-0000-0000190B0000}"/>
    <cellStyle name="Style 442" xfId="2867" xr:uid="{00000000-0005-0000-0000-00001A0B0000}"/>
    <cellStyle name="Style 443" xfId="2868" xr:uid="{00000000-0005-0000-0000-00001B0B0000}"/>
    <cellStyle name="Style 444" xfId="2869" xr:uid="{00000000-0005-0000-0000-00001C0B0000}"/>
    <cellStyle name="Style 445" xfId="2870" xr:uid="{00000000-0005-0000-0000-00001D0B0000}"/>
    <cellStyle name="Style 446" xfId="2871" xr:uid="{00000000-0005-0000-0000-00001E0B0000}"/>
    <cellStyle name="Style 447" xfId="2872" xr:uid="{00000000-0005-0000-0000-00001F0B0000}"/>
    <cellStyle name="Style 448" xfId="2873" xr:uid="{00000000-0005-0000-0000-0000200B0000}"/>
    <cellStyle name="Style 448 2" xfId="2874" xr:uid="{00000000-0005-0000-0000-0000210B0000}"/>
    <cellStyle name="Style 449" xfId="2875" xr:uid="{00000000-0005-0000-0000-0000220B0000}"/>
    <cellStyle name="Style 449 2" xfId="2876" xr:uid="{00000000-0005-0000-0000-0000230B0000}"/>
    <cellStyle name="Style 450" xfId="2877" xr:uid="{00000000-0005-0000-0000-0000240B0000}"/>
    <cellStyle name="Style 450 2" xfId="2878" xr:uid="{00000000-0005-0000-0000-0000250B0000}"/>
    <cellStyle name="Style 459" xfId="2879" xr:uid="{00000000-0005-0000-0000-0000260B0000}"/>
    <cellStyle name="Style 460" xfId="2880" xr:uid="{00000000-0005-0000-0000-0000270B0000}"/>
    <cellStyle name="Style 461" xfId="2881" xr:uid="{00000000-0005-0000-0000-0000280B0000}"/>
    <cellStyle name="Style 462" xfId="2882" xr:uid="{00000000-0005-0000-0000-0000290B0000}"/>
    <cellStyle name="Style 463" xfId="2883" xr:uid="{00000000-0005-0000-0000-00002A0B0000}"/>
    <cellStyle name="Style 464" xfId="2884" xr:uid="{00000000-0005-0000-0000-00002B0B0000}"/>
    <cellStyle name="Style 465" xfId="2885" xr:uid="{00000000-0005-0000-0000-00002C0B0000}"/>
    <cellStyle name="Style 466" xfId="2886" xr:uid="{00000000-0005-0000-0000-00002D0B0000}"/>
    <cellStyle name="Style 467" xfId="2887" xr:uid="{00000000-0005-0000-0000-00002E0B0000}"/>
    <cellStyle name="Style 468" xfId="2888" xr:uid="{00000000-0005-0000-0000-00002F0B0000}"/>
    <cellStyle name="Style 469" xfId="2889" xr:uid="{00000000-0005-0000-0000-0000300B0000}"/>
    <cellStyle name="Style 469 2" xfId="2890" xr:uid="{00000000-0005-0000-0000-0000310B0000}"/>
    <cellStyle name="Style 470" xfId="2891" xr:uid="{00000000-0005-0000-0000-0000320B0000}"/>
    <cellStyle name="Style 471" xfId="2892" xr:uid="{00000000-0005-0000-0000-0000330B0000}"/>
    <cellStyle name="Style 479" xfId="2893" xr:uid="{00000000-0005-0000-0000-0000340B0000}"/>
    <cellStyle name="Style 480" xfId="2894" xr:uid="{00000000-0005-0000-0000-0000350B0000}"/>
    <cellStyle name="Style 480 2" xfId="2895" xr:uid="{00000000-0005-0000-0000-0000360B0000}"/>
    <cellStyle name="Style 481" xfId="2896" xr:uid="{00000000-0005-0000-0000-0000370B0000}"/>
    <cellStyle name="Style 481 2" xfId="2897" xr:uid="{00000000-0005-0000-0000-0000380B0000}"/>
    <cellStyle name="Style 482" xfId="2898" xr:uid="{00000000-0005-0000-0000-0000390B0000}"/>
    <cellStyle name="Style 482 2" xfId="2899" xr:uid="{00000000-0005-0000-0000-00003A0B0000}"/>
    <cellStyle name="Style 483" xfId="2900" xr:uid="{00000000-0005-0000-0000-00003B0B0000}"/>
    <cellStyle name="Style 483 2" xfId="2901" xr:uid="{00000000-0005-0000-0000-00003C0B0000}"/>
    <cellStyle name="Style 484" xfId="2902" xr:uid="{00000000-0005-0000-0000-00003D0B0000}"/>
    <cellStyle name="Style 485" xfId="2903" xr:uid="{00000000-0005-0000-0000-00003E0B0000}"/>
    <cellStyle name="Style 486" xfId="2904" xr:uid="{00000000-0005-0000-0000-00003F0B0000}"/>
    <cellStyle name="Style 487" xfId="2905" xr:uid="{00000000-0005-0000-0000-0000400B0000}"/>
    <cellStyle name="Style 488" xfId="2906" xr:uid="{00000000-0005-0000-0000-0000410B0000}"/>
    <cellStyle name="Style 489" xfId="2907" xr:uid="{00000000-0005-0000-0000-0000420B0000}"/>
    <cellStyle name="Style 490" xfId="2908" xr:uid="{00000000-0005-0000-0000-0000430B0000}"/>
    <cellStyle name="Style 491" xfId="2909" xr:uid="{00000000-0005-0000-0000-0000440B0000}"/>
    <cellStyle name="Style 492" xfId="2910" xr:uid="{00000000-0005-0000-0000-0000450B0000}"/>
    <cellStyle name="Style 493" xfId="2911" xr:uid="{00000000-0005-0000-0000-0000460B0000}"/>
    <cellStyle name="Style 494" xfId="2912" xr:uid="{00000000-0005-0000-0000-0000470B0000}"/>
    <cellStyle name="Style 495" xfId="2913" xr:uid="{00000000-0005-0000-0000-0000480B0000}"/>
    <cellStyle name="Style 496" xfId="2914" xr:uid="{00000000-0005-0000-0000-0000490B0000}"/>
    <cellStyle name="Style 496 2" xfId="2915" xr:uid="{00000000-0005-0000-0000-00004A0B0000}"/>
    <cellStyle name="Style 497" xfId="2916" xr:uid="{00000000-0005-0000-0000-00004B0B0000}"/>
    <cellStyle name="Style 498" xfId="2917" xr:uid="{00000000-0005-0000-0000-00004C0B0000}"/>
    <cellStyle name="Style 499" xfId="2918" xr:uid="{00000000-0005-0000-0000-00004D0B0000}"/>
    <cellStyle name="Style 500" xfId="2919" xr:uid="{00000000-0005-0000-0000-00004E0B0000}"/>
    <cellStyle name="Style 501" xfId="2920" xr:uid="{00000000-0005-0000-0000-00004F0B0000}"/>
    <cellStyle name="Style 502" xfId="2921" xr:uid="{00000000-0005-0000-0000-0000500B0000}"/>
    <cellStyle name="Style 503" xfId="2922" xr:uid="{00000000-0005-0000-0000-0000510B0000}"/>
    <cellStyle name="Style 504" xfId="2923" xr:uid="{00000000-0005-0000-0000-0000520B0000}"/>
    <cellStyle name="Style 518" xfId="2924" xr:uid="{00000000-0005-0000-0000-0000530B0000}"/>
    <cellStyle name="Style 519" xfId="2925" xr:uid="{00000000-0005-0000-0000-0000540B0000}"/>
    <cellStyle name="Style 519 2" xfId="2926" xr:uid="{00000000-0005-0000-0000-0000550B0000}"/>
    <cellStyle name="Style 519 3" xfId="2927" xr:uid="{00000000-0005-0000-0000-0000560B0000}"/>
    <cellStyle name="Style 520" xfId="2928" xr:uid="{00000000-0005-0000-0000-0000570B0000}"/>
    <cellStyle name="Style 520 2" xfId="2929" xr:uid="{00000000-0005-0000-0000-0000580B0000}"/>
    <cellStyle name="Style 521" xfId="2930" xr:uid="{00000000-0005-0000-0000-0000590B0000}"/>
    <cellStyle name="Style 521 2" xfId="2931" xr:uid="{00000000-0005-0000-0000-00005A0B0000}"/>
    <cellStyle name="Style 522" xfId="2932" xr:uid="{00000000-0005-0000-0000-00005B0B0000}"/>
    <cellStyle name="Style 522 2" xfId="2933" xr:uid="{00000000-0005-0000-0000-00005C0B0000}"/>
    <cellStyle name="Style 523" xfId="2934" xr:uid="{00000000-0005-0000-0000-00005D0B0000}"/>
    <cellStyle name="Style 523 2" xfId="2935" xr:uid="{00000000-0005-0000-0000-00005E0B0000}"/>
    <cellStyle name="Style 524" xfId="2936" xr:uid="{00000000-0005-0000-0000-00005F0B0000}"/>
    <cellStyle name="Style 525" xfId="2937" xr:uid="{00000000-0005-0000-0000-0000600B0000}"/>
    <cellStyle name="Style 526" xfId="2938" xr:uid="{00000000-0005-0000-0000-0000610B0000}"/>
    <cellStyle name="Style 527" xfId="2939" xr:uid="{00000000-0005-0000-0000-0000620B0000}"/>
    <cellStyle name="Style 528" xfId="2940" xr:uid="{00000000-0005-0000-0000-0000630B0000}"/>
    <cellStyle name="Style 529" xfId="2941" xr:uid="{00000000-0005-0000-0000-0000640B0000}"/>
    <cellStyle name="Style 530" xfId="2942" xr:uid="{00000000-0005-0000-0000-0000650B0000}"/>
    <cellStyle name="Style 531" xfId="2943" xr:uid="{00000000-0005-0000-0000-0000660B0000}"/>
    <cellStyle name="Style 531 2" xfId="2944" xr:uid="{00000000-0005-0000-0000-0000670B0000}"/>
    <cellStyle name="Style 532" xfId="2945" xr:uid="{00000000-0005-0000-0000-0000680B0000}"/>
    <cellStyle name="Style 533" xfId="2946" xr:uid="{00000000-0005-0000-0000-0000690B0000}"/>
    <cellStyle name="Style 533 2" xfId="2947" xr:uid="{00000000-0005-0000-0000-00006A0B0000}"/>
    <cellStyle name="Style 534" xfId="2948" xr:uid="{00000000-0005-0000-0000-00006B0B0000}"/>
    <cellStyle name="Style 534 2" xfId="2949" xr:uid="{00000000-0005-0000-0000-00006C0B0000}"/>
    <cellStyle name="Style 535" xfId="2950" xr:uid="{00000000-0005-0000-0000-00006D0B0000}"/>
    <cellStyle name="Style 536" xfId="2951" xr:uid="{00000000-0005-0000-0000-00006E0B0000}"/>
    <cellStyle name="Style 537" xfId="2952" xr:uid="{00000000-0005-0000-0000-00006F0B0000}"/>
    <cellStyle name="Style 538" xfId="2953" xr:uid="{00000000-0005-0000-0000-0000700B0000}"/>
    <cellStyle name="Style 538 2" xfId="2954" xr:uid="{00000000-0005-0000-0000-0000710B0000}"/>
    <cellStyle name="Style 586" xfId="2955" xr:uid="{00000000-0005-0000-0000-0000720B0000}"/>
    <cellStyle name="Style 587" xfId="2956" xr:uid="{00000000-0005-0000-0000-0000730B0000}"/>
    <cellStyle name="Style 588" xfId="2957" xr:uid="{00000000-0005-0000-0000-0000740B0000}"/>
    <cellStyle name="Style 589" xfId="2958" xr:uid="{00000000-0005-0000-0000-0000750B0000}"/>
    <cellStyle name="Style 590" xfId="2959" xr:uid="{00000000-0005-0000-0000-0000760B0000}"/>
    <cellStyle name="Style 591" xfId="2960" xr:uid="{00000000-0005-0000-0000-0000770B0000}"/>
    <cellStyle name="Style 592" xfId="2961" xr:uid="{00000000-0005-0000-0000-0000780B0000}"/>
    <cellStyle name="Style 592 2" xfId="2962" xr:uid="{00000000-0005-0000-0000-0000790B0000}"/>
    <cellStyle name="Style 593" xfId="2963" xr:uid="{00000000-0005-0000-0000-00007A0B0000}"/>
    <cellStyle name="Style 594" xfId="2964" xr:uid="{00000000-0005-0000-0000-00007B0B0000}"/>
    <cellStyle name="Style 594 2" xfId="2965" xr:uid="{00000000-0005-0000-0000-00007C0B0000}"/>
    <cellStyle name="Style 595" xfId="2966" xr:uid="{00000000-0005-0000-0000-00007D0B0000}"/>
    <cellStyle name="Style 595 2" xfId="2967" xr:uid="{00000000-0005-0000-0000-00007E0B0000}"/>
    <cellStyle name="Style 596" xfId="2968" xr:uid="{00000000-0005-0000-0000-00007F0B0000}"/>
    <cellStyle name="Style 597" xfId="2969" xr:uid="{00000000-0005-0000-0000-0000800B0000}"/>
    <cellStyle name="Style 598" xfId="2970" xr:uid="{00000000-0005-0000-0000-0000810B0000}"/>
    <cellStyle name="Style 599" xfId="2971" xr:uid="{00000000-0005-0000-0000-0000820B0000}"/>
    <cellStyle name="Style 600" xfId="2972" xr:uid="{00000000-0005-0000-0000-0000830B0000}"/>
    <cellStyle name="Style 617" xfId="2973" xr:uid="{00000000-0005-0000-0000-0000840B0000}"/>
    <cellStyle name="Style 618" xfId="2974" xr:uid="{00000000-0005-0000-0000-0000850B0000}"/>
    <cellStyle name="Style 619" xfId="2975" xr:uid="{00000000-0005-0000-0000-0000860B0000}"/>
    <cellStyle name="Style 620" xfId="2976" xr:uid="{00000000-0005-0000-0000-0000870B0000}"/>
    <cellStyle name="Style 621" xfId="2977" xr:uid="{00000000-0005-0000-0000-0000880B0000}"/>
    <cellStyle name="Style 622" xfId="2978" xr:uid="{00000000-0005-0000-0000-0000890B0000}"/>
    <cellStyle name="Style 623" xfId="2979" xr:uid="{00000000-0005-0000-0000-00008A0B0000}"/>
    <cellStyle name="Style 624" xfId="2980" xr:uid="{00000000-0005-0000-0000-00008B0B0000}"/>
    <cellStyle name="Style 625" xfId="2981" xr:uid="{00000000-0005-0000-0000-00008C0B0000}"/>
    <cellStyle name="Style 626" xfId="2982" xr:uid="{00000000-0005-0000-0000-00008D0B0000}"/>
    <cellStyle name="Style 627" xfId="2983" xr:uid="{00000000-0005-0000-0000-00008E0B0000}"/>
    <cellStyle name="Style 627 2" xfId="2984" xr:uid="{00000000-0005-0000-0000-00008F0B0000}"/>
    <cellStyle name="Style 628" xfId="2985" xr:uid="{00000000-0005-0000-0000-0000900B0000}"/>
    <cellStyle name="Style 629" xfId="2986" xr:uid="{00000000-0005-0000-0000-0000910B0000}"/>
    <cellStyle name="Style 630" xfId="2987" xr:uid="{00000000-0005-0000-0000-0000920B0000}"/>
    <cellStyle name="Style 631" xfId="2988" xr:uid="{00000000-0005-0000-0000-0000930B0000}"/>
    <cellStyle name="Style 632" xfId="2989" xr:uid="{00000000-0005-0000-0000-0000940B0000}"/>
    <cellStyle name="Style 633" xfId="2990" xr:uid="{00000000-0005-0000-0000-0000950B0000}"/>
    <cellStyle name="Style 634" xfId="2991" xr:uid="{00000000-0005-0000-0000-0000960B0000}"/>
    <cellStyle name="Style 635" xfId="2992" xr:uid="{00000000-0005-0000-0000-0000970B0000}"/>
    <cellStyle name="Style 656" xfId="2993" xr:uid="{00000000-0005-0000-0000-0000980B0000}"/>
    <cellStyle name="Style 657" xfId="2994" xr:uid="{00000000-0005-0000-0000-0000990B0000}"/>
    <cellStyle name="Style 658" xfId="2995" xr:uid="{00000000-0005-0000-0000-00009A0B0000}"/>
    <cellStyle name="Style 659" xfId="2996" xr:uid="{00000000-0005-0000-0000-00009B0B0000}"/>
    <cellStyle name="Style 660" xfId="2997" xr:uid="{00000000-0005-0000-0000-00009C0B0000}"/>
    <cellStyle name="Style 661" xfId="2998" xr:uid="{00000000-0005-0000-0000-00009D0B0000}"/>
    <cellStyle name="Style 662" xfId="2999" xr:uid="{00000000-0005-0000-0000-00009E0B0000}"/>
    <cellStyle name="Style 662 2" xfId="3000" xr:uid="{00000000-0005-0000-0000-00009F0B0000}"/>
    <cellStyle name="Style 663" xfId="3001" xr:uid="{00000000-0005-0000-0000-0000A00B0000}"/>
    <cellStyle name="Style 664" xfId="3002" xr:uid="{00000000-0005-0000-0000-0000A10B0000}"/>
    <cellStyle name="Style 664 2" xfId="3003" xr:uid="{00000000-0005-0000-0000-0000A20B0000}"/>
    <cellStyle name="Style 665" xfId="3004" xr:uid="{00000000-0005-0000-0000-0000A30B0000}"/>
    <cellStyle name="Style 665 2" xfId="3005" xr:uid="{00000000-0005-0000-0000-0000A40B0000}"/>
    <cellStyle name="Style 666" xfId="3006" xr:uid="{00000000-0005-0000-0000-0000A50B0000}"/>
    <cellStyle name="Style 667" xfId="3007" xr:uid="{00000000-0005-0000-0000-0000A60B0000}"/>
    <cellStyle name="Style 668" xfId="3008" xr:uid="{00000000-0005-0000-0000-0000A70B0000}"/>
    <cellStyle name="Style 669" xfId="3009" xr:uid="{00000000-0005-0000-0000-0000A80B0000}"/>
    <cellStyle name="Style 691" xfId="3010" xr:uid="{00000000-0005-0000-0000-0000A90B0000}"/>
    <cellStyle name="Style 691 2" xfId="3011" xr:uid="{00000000-0005-0000-0000-0000AA0B0000}"/>
    <cellStyle name="Style 692" xfId="3012" xr:uid="{00000000-0005-0000-0000-0000AB0B0000}"/>
    <cellStyle name="Style 693" xfId="3013" xr:uid="{00000000-0005-0000-0000-0000AC0B0000}"/>
    <cellStyle name="Style 693 2" xfId="3014" xr:uid="{00000000-0005-0000-0000-0000AD0B0000}"/>
    <cellStyle name="Style 694" xfId="3015" xr:uid="{00000000-0005-0000-0000-0000AE0B0000}"/>
    <cellStyle name="Style 694 2" xfId="3016" xr:uid="{00000000-0005-0000-0000-0000AF0B0000}"/>
    <cellStyle name="Style 695" xfId="3017" xr:uid="{00000000-0005-0000-0000-0000B00B0000}"/>
    <cellStyle name="Style 696" xfId="3018" xr:uid="{00000000-0005-0000-0000-0000B10B0000}"/>
    <cellStyle name="Style 697" xfId="3019" xr:uid="{00000000-0005-0000-0000-0000B20B0000}"/>
    <cellStyle name="Style 698" xfId="3020" xr:uid="{00000000-0005-0000-0000-0000B30B0000}"/>
    <cellStyle name="STYLE1" xfId="3021" xr:uid="{00000000-0005-0000-0000-0000B40B0000}"/>
    <cellStyle name="STYLE2" xfId="3022" xr:uid="{00000000-0005-0000-0000-0000B50B0000}"/>
    <cellStyle name="Style3" xfId="3023" xr:uid="{00000000-0005-0000-0000-0000B60B0000}"/>
    <cellStyle name="su" xfId="3024" xr:uid="{00000000-0005-0000-0000-0000B70B0000}"/>
    <cellStyle name="SubHeader" xfId="77" xr:uid="{00000000-0005-0000-0000-0000B80B0000}"/>
    <cellStyle name="Subtitle" xfId="3025" xr:uid="{00000000-0005-0000-0000-0000B90B0000}"/>
    <cellStyle name="Subtitle - No ScotchRule" xfId="3026" xr:uid="{00000000-0005-0000-0000-0000BA0B0000}"/>
    <cellStyle name="SubTotal" xfId="78" xr:uid="{00000000-0005-0000-0000-0000BB0B0000}"/>
    <cellStyle name="SubTotal 2" xfId="3027" xr:uid="{00000000-0005-0000-0000-0000BC0B0000}"/>
    <cellStyle name="SubTotal 3" xfId="3028" xr:uid="{00000000-0005-0000-0000-0000BD0B0000}"/>
    <cellStyle name="SubTotal 4" xfId="3029" xr:uid="{00000000-0005-0000-0000-0000BE0B0000}"/>
    <cellStyle name="sum" xfId="3030" xr:uid="{00000000-0005-0000-0000-0000BF0B0000}"/>
    <cellStyle name="sum 2" xfId="3031" xr:uid="{00000000-0005-0000-0000-0000C00B0000}"/>
    <cellStyle name="T" xfId="79" xr:uid="{00000000-0005-0000-0000-0000C10B0000}"/>
    <cellStyle name="t 10" xfId="3032" xr:uid="{00000000-0005-0000-0000-0000C20B0000}"/>
    <cellStyle name="T 11" xfId="3033" xr:uid="{00000000-0005-0000-0000-0000C30B0000}"/>
    <cellStyle name="T 12" xfId="3034" xr:uid="{00000000-0005-0000-0000-0000C40B0000}"/>
    <cellStyle name="T 13" xfId="3035" xr:uid="{00000000-0005-0000-0000-0000C50B0000}"/>
    <cellStyle name="T 14" xfId="3036" xr:uid="{00000000-0005-0000-0000-0000C60B0000}"/>
    <cellStyle name="T 15" xfId="3037" xr:uid="{00000000-0005-0000-0000-0000C70B0000}"/>
    <cellStyle name="T 16" xfId="3038" xr:uid="{00000000-0005-0000-0000-0000C80B0000}"/>
    <cellStyle name="T 17" xfId="3039" xr:uid="{00000000-0005-0000-0000-0000C90B0000}"/>
    <cellStyle name="T 2" xfId="3040" xr:uid="{00000000-0005-0000-0000-0000CA0B0000}"/>
    <cellStyle name="t 3" xfId="3041" xr:uid="{00000000-0005-0000-0000-0000CB0B0000}"/>
    <cellStyle name="t 4" xfId="3042" xr:uid="{00000000-0005-0000-0000-0000CC0B0000}"/>
    <cellStyle name="t 5" xfId="3043" xr:uid="{00000000-0005-0000-0000-0000CD0B0000}"/>
    <cellStyle name="t 6" xfId="3044" xr:uid="{00000000-0005-0000-0000-0000CE0B0000}"/>
    <cellStyle name="t 7" xfId="3045" xr:uid="{00000000-0005-0000-0000-0000CF0B0000}"/>
    <cellStyle name="t 8" xfId="3046" xr:uid="{00000000-0005-0000-0000-0000D00B0000}"/>
    <cellStyle name="t 9" xfId="3047" xr:uid="{00000000-0005-0000-0000-0000D10B0000}"/>
    <cellStyle name="t_1200 Brickell Trimont Model 2004_09_14" xfId="3048" xr:uid="{00000000-0005-0000-0000-0000D20B0000}"/>
    <cellStyle name="t_1200 Brickell Trimont Model 2004_09_14 2" xfId="3049" xr:uid="{00000000-0005-0000-0000-0000D30B0000}"/>
    <cellStyle name="t_DCF" xfId="3050" xr:uid="{00000000-0005-0000-0000-0000D40B0000}"/>
    <cellStyle name="t_DCF 2" xfId="3051" xr:uid="{00000000-0005-0000-0000-0000D50B0000}"/>
    <cellStyle name="t_Downey Charts" xfId="3052" xr:uid="{00000000-0005-0000-0000-0000D60B0000}"/>
    <cellStyle name="t_Downey Charts 2" xfId="3053" xr:uid="{00000000-0005-0000-0000-0000D70B0000}"/>
    <cellStyle name="t_Macros" xfId="3054" xr:uid="{00000000-0005-0000-0000-0000D80B0000}"/>
    <cellStyle name="t_Macros (2)" xfId="3055" xr:uid="{00000000-0005-0000-0000-0000D90B0000}"/>
    <cellStyle name="t_Macros (3)" xfId="3056" xr:uid="{00000000-0005-0000-0000-0000DA0B0000}"/>
    <cellStyle name="t_Macros (3) 2" xfId="3057" xr:uid="{00000000-0005-0000-0000-0000DB0B0000}"/>
    <cellStyle name="t_Macros 2" xfId="3058" xr:uid="{00000000-0005-0000-0000-0000DC0B0000}"/>
    <cellStyle name="t_Macros 3" xfId="3059" xr:uid="{00000000-0005-0000-0000-0000DD0B0000}"/>
    <cellStyle name="t_Macros_1" xfId="3060" xr:uid="{00000000-0005-0000-0000-0000DE0B0000}"/>
    <cellStyle name="t_Manager" xfId="3061" xr:uid="{00000000-0005-0000-0000-0000DF0B0000}"/>
    <cellStyle name="t_Manager (2)" xfId="3062" xr:uid="{00000000-0005-0000-0000-0000E00B0000}"/>
    <cellStyle name="t_Manager (2)_1" xfId="3063" xr:uid="{00000000-0005-0000-0000-0000E10B0000}"/>
    <cellStyle name="t_Manager (2)_1 2" xfId="3064" xr:uid="{00000000-0005-0000-0000-0000E20B0000}"/>
    <cellStyle name="t_Manager 2" xfId="3065" xr:uid="{00000000-0005-0000-0000-0000E30B0000}"/>
    <cellStyle name="t_Manager 3" xfId="3066" xr:uid="{00000000-0005-0000-0000-0000E40B0000}"/>
    <cellStyle name="t_Sheet1" xfId="3067" xr:uid="{00000000-0005-0000-0000-0000E50B0000}"/>
    <cellStyle name="t1" xfId="3068" xr:uid="{00000000-0005-0000-0000-0000E60B0000}"/>
    <cellStyle name="Table Col Head" xfId="3069" xr:uid="{00000000-0005-0000-0000-0000E70B0000}"/>
    <cellStyle name="Table Header" xfId="124" xr:uid="{00000000-0005-0000-0000-0000E80B0000}"/>
    <cellStyle name="Table Label" xfId="3070" xr:uid="{00000000-0005-0000-0000-0000E90B0000}"/>
    <cellStyle name="Table Label 2" xfId="3071" xr:uid="{00000000-0005-0000-0000-0000EA0B0000}"/>
    <cellStyle name="Table Label 3" xfId="3072" xr:uid="{00000000-0005-0000-0000-0000EB0B0000}"/>
    <cellStyle name="Table Sub Head" xfId="3073" xr:uid="{00000000-0005-0000-0000-0000EC0B0000}"/>
    <cellStyle name="Table Subheader1" xfId="125" xr:uid="{00000000-0005-0000-0000-0000ED0B0000}"/>
    <cellStyle name="Table Subheader2" xfId="126" xr:uid="{00000000-0005-0000-0000-0000EE0B0000}"/>
    <cellStyle name="Table Subheader2 2" xfId="3074" xr:uid="{00000000-0005-0000-0000-0000EF0B0000}"/>
    <cellStyle name="Table Subheader2 3" xfId="3075" xr:uid="{00000000-0005-0000-0000-0000F00B0000}"/>
    <cellStyle name="Table Subheader3" xfId="127" xr:uid="{00000000-0005-0000-0000-0000F10B0000}"/>
    <cellStyle name="Table Subheader3 2" xfId="3076" xr:uid="{00000000-0005-0000-0000-0000F20B0000}"/>
    <cellStyle name="Table Subheader3 3" xfId="3077" xr:uid="{00000000-0005-0000-0000-0000F30B0000}"/>
    <cellStyle name="Table Title" xfId="3078" xr:uid="{00000000-0005-0000-0000-0000F40B0000}"/>
    <cellStyle name="Table Units" xfId="3079" xr:uid="{00000000-0005-0000-0000-0000F50B0000}"/>
    <cellStyle name="Text Indent A" xfId="3080" xr:uid="{00000000-0005-0000-0000-0000F60B0000}"/>
    <cellStyle name="Text Indent B" xfId="3081" xr:uid="{00000000-0005-0000-0000-0000F70B0000}"/>
    <cellStyle name="Text Indent C" xfId="3082" xr:uid="{00000000-0005-0000-0000-0000F80B0000}"/>
    <cellStyle name="tg" xfId="3083" xr:uid="{00000000-0005-0000-0000-0000F90B0000}"/>
    <cellStyle name="tg 2" xfId="3084" xr:uid="{00000000-0005-0000-0000-0000FA0B0000}"/>
    <cellStyle name="ti" xfId="3085" xr:uid="{00000000-0005-0000-0000-0000FB0B0000}"/>
    <cellStyle name="ti 2" xfId="3086" xr:uid="{00000000-0005-0000-0000-0000FC0B0000}"/>
    <cellStyle name="TIME" xfId="80" xr:uid="{00000000-0005-0000-0000-0000FD0B0000}"/>
    <cellStyle name="Times 10" xfId="3087" xr:uid="{00000000-0005-0000-0000-0000FE0B0000}"/>
    <cellStyle name="Times 12" xfId="3088" xr:uid="{00000000-0005-0000-0000-0000FF0B0000}"/>
    <cellStyle name="Times New Roman" xfId="3089" xr:uid="{00000000-0005-0000-0000-0000000C0000}"/>
    <cellStyle name="tit" xfId="3090" xr:uid="{00000000-0005-0000-0000-0000010C0000}"/>
    <cellStyle name="tit 2" xfId="3091" xr:uid="{00000000-0005-0000-0000-0000020C0000}"/>
    <cellStyle name="Title - No ScotchRule" xfId="3092" xr:uid="{00000000-0005-0000-0000-0000030C0000}"/>
    <cellStyle name="Title 2" xfId="113" xr:uid="{00000000-0005-0000-0000-0000040C0000}"/>
    <cellStyle name="Title 2 2" xfId="3093" xr:uid="{00000000-0005-0000-0000-0000050C0000}"/>
    <cellStyle name="Title 2 2 2" xfId="3094" xr:uid="{00000000-0005-0000-0000-0000060C0000}"/>
    <cellStyle name="Title 2 3" xfId="3095" xr:uid="{00000000-0005-0000-0000-0000070C0000}"/>
    <cellStyle name="Title1" xfId="81" xr:uid="{00000000-0005-0000-0000-0000080C0000}"/>
    <cellStyle name="TitleOther" xfId="82" xr:uid="{00000000-0005-0000-0000-0000090C0000}"/>
    <cellStyle name="Top and Bottom Border" xfId="3096" xr:uid="{00000000-0005-0000-0000-00000A0C0000}"/>
    <cellStyle name="Top and Bottom Border 2" xfId="3097" xr:uid="{00000000-0005-0000-0000-00000B0C0000}"/>
    <cellStyle name="Top_Double_Bottom" xfId="3098" xr:uid="{00000000-0005-0000-0000-00000C0C0000}"/>
    <cellStyle name="TopBot - Style2" xfId="3099" xr:uid="{00000000-0005-0000-0000-00000D0C0000}"/>
    <cellStyle name="TopBot - Style2 2" xfId="3100" xr:uid="{00000000-0005-0000-0000-00000E0C0000}"/>
    <cellStyle name="Total1" xfId="83" xr:uid="{00000000-0005-0000-0000-00000F0C0000}"/>
    <cellStyle name="Total2" xfId="84" xr:uid="{00000000-0005-0000-0000-0000100C0000}"/>
    <cellStyle name="Total3" xfId="85" xr:uid="{00000000-0005-0000-0000-0000110C0000}"/>
    <cellStyle name="Total4" xfId="86" xr:uid="{00000000-0005-0000-0000-0000120C0000}"/>
    <cellStyle name="Total5" xfId="87" xr:uid="{00000000-0005-0000-0000-0000130C0000}"/>
    <cellStyle name="Total6" xfId="88" xr:uid="{00000000-0005-0000-0000-0000140C0000}"/>
    <cellStyle name="Total7" xfId="89" xr:uid="{00000000-0005-0000-0000-0000150C0000}"/>
    <cellStyle name="Total8" xfId="90" xr:uid="{00000000-0005-0000-0000-0000160C0000}"/>
    <cellStyle name="Total9" xfId="91" xr:uid="{00000000-0005-0000-0000-0000170C0000}"/>
    <cellStyle name="Totals" xfId="3101" xr:uid="{00000000-0005-0000-0000-0000180C0000}"/>
    <cellStyle name="TotShade" xfId="92" xr:uid="{00000000-0005-0000-0000-0000190C0000}"/>
    <cellStyle name="tt" xfId="3102" xr:uid="{00000000-0005-0000-0000-00001A0C0000}"/>
    <cellStyle name="u" xfId="3103" xr:uid="{00000000-0005-0000-0000-00001B0C0000}"/>
    <cellStyle name="u_Macros" xfId="3104" xr:uid="{00000000-0005-0000-0000-00001C0C0000}"/>
    <cellStyle name="u_Macros (2)" xfId="3105" xr:uid="{00000000-0005-0000-0000-00001D0C0000}"/>
    <cellStyle name="u_Manager (2)" xfId="3106" xr:uid="{00000000-0005-0000-0000-00001E0C0000}"/>
    <cellStyle name="Undefiniert" xfId="3107" xr:uid="{00000000-0005-0000-0000-00001F0C0000}"/>
    <cellStyle name="Underscore" xfId="93" xr:uid="{00000000-0005-0000-0000-0000200C0000}"/>
    <cellStyle name="Underscore 2" xfId="94" xr:uid="{00000000-0005-0000-0000-0000210C0000}"/>
    <cellStyle name="Underscore 2 2" xfId="139" xr:uid="{00000000-0005-0000-0000-0000220C0000}"/>
    <cellStyle name="Underscore 2 3" xfId="3108" xr:uid="{00000000-0005-0000-0000-0000230C0000}"/>
    <cellStyle name="Underscore 2 4" xfId="3109" xr:uid="{00000000-0005-0000-0000-0000240C0000}"/>
    <cellStyle name="Unprot" xfId="3110" xr:uid="{00000000-0005-0000-0000-0000250C0000}"/>
    <cellStyle name="Unprot$" xfId="3111" xr:uid="{00000000-0005-0000-0000-0000260C0000}"/>
    <cellStyle name="Unprotect" xfId="3112" xr:uid="{00000000-0005-0000-0000-0000270C0000}"/>
    <cellStyle name="Unprotected" xfId="3113" xr:uid="{00000000-0005-0000-0000-0000280C0000}"/>
    <cellStyle name="User_Defined_C" xfId="3114" xr:uid="{00000000-0005-0000-0000-0000290C0000}"/>
    <cellStyle name="Valuta (0)_affitto_a_terzi" xfId="3115" xr:uid="{00000000-0005-0000-0000-00002A0C0000}"/>
    <cellStyle name="Valuta_affitto_a_terzi" xfId="3116" xr:uid="{00000000-0005-0000-0000-00002B0C0000}"/>
    <cellStyle name="Vírgula" xfId="1" builtinId="3"/>
    <cellStyle name="VO" xfId="3117" xr:uid="{00000000-0005-0000-0000-00002C0C0000}"/>
    <cellStyle name="w12" xfId="3118" xr:uid="{00000000-0005-0000-0000-00002D0C0000}"/>
    <cellStyle name="Währung [0]_laroux" xfId="3119" xr:uid="{00000000-0005-0000-0000-00002E0C0000}"/>
    <cellStyle name="Währung_laroux" xfId="3120" xr:uid="{00000000-0005-0000-0000-00002F0C0000}"/>
    <cellStyle name="x" xfId="3121" xr:uid="{00000000-0005-0000-0000-0000300C0000}"/>
    <cellStyle name="Year" xfId="3122" xr:uid="{00000000-0005-0000-0000-0000310C0000}"/>
    <cellStyle name="Year #" xfId="128" xr:uid="{00000000-0005-0000-0000-0000320C0000}"/>
    <cellStyle name="Year # 2" xfId="3123" xr:uid="{00000000-0005-0000-0000-0000330C0000}"/>
    <cellStyle name="Year # 2 2" xfId="3124" xr:uid="{00000000-0005-0000-0000-0000340C0000}"/>
    <cellStyle name="Year # 2 2 2" xfId="3125" xr:uid="{00000000-0005-0000-0000-0000350C0000}"/>
    <cellStyle name="Year # 2 2 2 2" xfId="3126" xr:uid="{00000000-0005-0000-0000-0000360C0000}"/>
    <cellStyle name="Year # 2 2 3" xfId="3127" xr:uid="{00000000-0005-0000-0000-0000370C0000}"/>
    <cellStyle name="Year # 2 2 4" xfId="3128" xr:uid="{00000000-0005-0000-0000-0000380C0000}"/>
    <cellStyle name="Year # 2 3" xfId="3129" xr:uid="{00000000-0005-0000-0000-0000390C0000}"/>
    <cellStyle name="Year # 2 3 2" xfId="3130" xr:uid="{00000000-0005-0000-0000-00003A0C0000}"/>
    <cellStyle name="Year # 2 4" xfId="3131" xr:uid="{00000000-0005-0000-0000-00003B0C0000}"/>
    <cellStyle name="Year # 2 5" xfId="3132" xr:uid="{00000000-0005-0000-0000-00003C0C0000}"/>
    <cellStyle name="Year # 3" xfId="3133" xr:uid="{00000000-0005-0000-0000-00003D0C0000}"/>
    <cellStyle name="Year # 3 2" xfId="3134" xr:uid="{00000000-0005-0000-0000-00003E0C0000}"/>
    <cellStyle name="Year # 3 2 2" xfId="3135" xr:uid="{00000000-0005-0000-0000-00003F0C0000}"/>
    <cellStyle name="Year # 3 3" xfId="3136" xr:uid="{00000000-0005-0000-0000-0000400C0000}"/>
    <cellStyle name="Year # 3 4" xfId="3137" xr:uid="{00000000-0005-0000-0000-0000410C0000}"/>
    <cellStyle name="Year # 4" xfId="3138" xr:uid="{00000000-0005-0000-0000-0000420C0000}"/>
    <cellStyle name="Year # 4 2" xfId="3139" xr:uid="{00000000-0005-0000-0000-0000430C0000}"/>
    <cellStyle name="Year # 4 2 2" xfId="3140" xr:uid="{00000000-0005-0000-0000-0000440C0000}"/>
    <cellStyle name="Year # 4 3" xfId="3141" xr:uid="{00000000-0005-0000-0000-0000450C0000}"/>
    <cellStyle name="Year # 4 4" xfId="3142" xr:uid="{00000000-0005-0000-0000-0000460C0000}"/>
    <cellStyle name="Year # 5" xfId="3143" xr:uid="{00000000-0005-0000-0000-0000470C0000}"/>
    <cellStyle name="Year # 5 2" xfId="3144" xr:uid="{00000000-0005-0000-0000-0000480C0000}"/>
    <cellStyle name="Year # 5 2 2" xfId="3145" xr:uid="{00000000-0005-0000-0000-0000490C0000}"/>
    <cellStyle name="Year # 5 3" xfId="3146" xr:uid="{00000000-0005-0000-0000-00004A0C0000}"/>
    <cellStyle name="Year # 5 4" xfId="3147" xr:uid="{00000000-0005-0000-0000-00004B0C0000}"/>
    <cellStyle name="Year # 6" xfId="3148" xr:uid="{00000000-0005-0000-0000-00004C0C0000}"/>
    <cellStyle name="Year # 6 2" xfId="3149" xr:uid="{00000000-0005-0000-0000-00004D0C0000}"/>
    <cellStyle name="Year # 7" xfId="3150" xr:uid="{00000000-0005-0000-0000-00004E0C0000}"/>
    <cellStyle name="Year # 8" xfId="3151" xr:uid="{00000000-0005-0000-0000-00004F0C0000}"/>
    <cellStyle name="Year (YYYY)" xfId="129" xr:uid="{00000000-0005-0000-0000-0000500C0000}"/>
    <cellStyle name="Year (YYYY) 2" xfId="3152" xr:uid="{00000000-0005-0000-0000-0000510C0000}"/>
    <cellStyle name="Year (YYYY) 2 2" xfId="3153" xr:uid="{00000000-0005-0000-0000-0000520C0000}"/>
    <cellStyle name="Year (YYYY) 2 2 2" xfId="3154" xr:uid="{00000000-0005-0000-0000-0000530C0000}"/>
    <cellStyle name="Year (YYYY) 2 2 2 2" xfId="3155" xr:uid="{00000000-0005-0000-0000-0000540C0000}"/>
    <cellStyle name="Year (YYYY) 2 2 3" xfId="3156" xr:uid="{00000000-0005-0000-0000-0000550C0000}"/>
    <cellStyle name="Year (YYYY) 2 2 4" xfId="3157" xr:uid="{00000000-0005-0000-0000-0000560C0000}"/>
    <cellStyle name="Year (YYYY) 2 3" xfId="3158" xr:uid="{00000000-0005-0000-0000-0000570C0000}"/>
    <cellStyle name="Year (YYYY) 2 3 2" xfId="3159" xr:uid="{00000000-0005-0000-0000-0000580C0000}"/>
    <cellStyle name="Year (YYYY) 2 4" xfId="3160" xr:uid="{00000000-0005-0000-0000-0000590C0000}"/>
    <cellStyle name="Year (YYYY) 2 5" xfId="3161" xr:uid="{00000000-0005-0000-0000-00005A0C0000}"/>
    <cellStyle name="Year (YYYY) 3" xfId="3162" xr:uid="{00000000-0005-0000-0000-00005B0C0000}"/>
    <cellStyle name="Year (YYYY) 3 2" xfId="3163" xr:uid="{00000000-0005-0000-0000-00005C0C0000}"/>
    <cellStyle name="Year (YYYY) 3 2 2" xfId="3164" xr:uid="{00000000-0005-0000-0000-00005D0C0000}"/>
    <cellStyle name="Year (YYYY) 3 3" xfId="3165" xr:uid="{00000000-0005-0000-0000-00005E0C0000}"/>
    <cellStyle name="Year (YYYY) 3 4" xfId="3166" xr:uid="{00000000-0005-0000-0000-00005F0C0000}"/>
    <cellStyle name="Year (YYYY) 4" xfId="3167" xr:uid="{00000000-0005-0000-0000-0000600C0000}"/>
    <cellStyle name="Year (YYYY) 4 2" xfId="3168" xr:uid="{00000000-0005-0000-0000-0000610C0000}"/>
    <cellStyle name="Year (YYYY) 4 2 2" xfId="3169" xr:uid="{00000000-0005-0000-0000-0000620C0000}"/>
    <cellStyle name="Year (YYYY) 4 3" xfId="3170" xr:uid="{00000000-0005-0000-0000-0000630C0000}"/>
    <cellStyle name="Year (YYYY) 4 4" xfId="3171" xr:uid="{00000000-0005-0000-0000-0000640C0000}"/>
    <cellStyle name="Year (YYYY) 5" xfId="3172" xr:uid="{00000000-0005-0000-0000-0000650C0000}"/>
    <cellStyle name="Year (YYYY) 5 2" xfId="3173" xr:uid="{00000000-0005-0000-0000-0000660C0000}"/>
    <cellStyle name="Year (YYYY) 5 2 2" xfId="3174" xr:uid="{00000000-0005-0000-0000-0000670C0000}"/>
    <cellStyle name="Year (YYYY) 5 3" xfId="3175" xr:uid="{00000000-0005-0000-0000-0000680C0000}"/>
    <cellStyle name="Year (YYYY) 5 4" xfId="3176" xr:uid="{00000000-0005-0000-0000-0000690C0000}"/>
    <cellStyle name="Year (YYYY) 6" xfId="3177" xr:uid="{00000000-0005-0000-0000-00006A0C0000}"/>
    <cellStyle name="Year (YYYY) 6 2" xfId="3178" xr:uid="{00000000-0005-0000-0000-00006B0C0000}"/>
    <cellStyle name="Year (YYYY) 7" xfId="3179" xr:uid="{00000000-0005-0000-0000-00006C0C0000}"/>
    <cellStyle name="Year (YYYY) 8" xfId="3180" xr:uid="{00000000-0005-0000-0000-00006D0C0000}"/>
    <cellStyle name="Yen" xfId="3181" xr:uid="{00000000-0005-0000-0000-00006E0C0000}"/>
    <cellStyle name="Yes/No" xfId="130" xr:uid="{00000000-0005-0000-0000-00006F0C0000}"/>
    <cellStyle name="Yes/No 2" xfId="3182" xr:uid="{00000000-0005-0000-0000-0000700C0000}"/>
    <cellStyle name="Yes/No 2 2" xfId="3183" xr:uid="{00000000-0005-0000-0000-0000710C0000}"/>
    <cellStyle name="Yes/No 3" xfId="3184" xr:uid="{00000000-0005-0000-0000-0000720C0000}"/>
    <cellStyle name="Yes/No 4" xfId="3185" xr:uid="{00000000-0005-0000-0000-0000730C0000}"/>
    <cellStyle name="yh" xfId="3186" xr:uid="{00000000-0005-0000-0000-0000740C0000}"/>
    <cellStyle name="yt" xfId="3187" xr:uid="{00000000-0005-0000-0000-0000750C0000}"/>
    <cellStyle name="z" xfId="3188" xr:uid="{00000000-0005-0000-0000-0000760C0000}"/>
    <cellStyle name="Zaph Call 11pt" xfId="3189" xr:uid="{00000000-0005-0000-0000-0000770C0000}"/>
    <cellStyle name="桁区切り [0.00]_Sheet1" xfId="3190" xr:uid="{00000000-0005-0000-0000-0000780C0000}"/>
    <cellStyle name="桁区切り_Sheet1" xfId="3191" xr:uid="{00000000-0005-0000-0000-0000790C0000}"/>
    <cellStyle name="標準_Book5" xfId="3192" xr:uid="{00000000-0005-0000-0000-00007A0C0000}"/>
    <cellStyle name="通貨 [0.00]_Sheet1" xfId="3193" xr:uid="{00000000-0005-0000-0000-00007B0C0000}"/>
    <cellStyle name="通貨_Sheet1" xfId="3194" xr:uid="{00000000-0005-0000-0000-00007C0C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333399"/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</xdr:colOff>
      <xdr:row>1</xdr:row>
      <xdr:rowOff>80963</xdr:rowOff>
    </xdr:from>
    <xdr:to>
      <xdr:col>3</xdr:col>
      <xdr:colOff>147637</xdr:colOff>
      <xdr:row>4</xdr:row>
      <xdr:rowOff>71438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" y="271463"/>
          <a:ext cx="1352550" cy="5619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1. Instructions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539750</xdr:colOff>
      <xdr:row>1</xdr:row>
      <xdr:rowOff>80963</xdr:rowOff>
    </xdr:from>
    <xdr:to>
      <xdr:col>6</xdr:col>
      <xdr:colOff>63500</xdr:colOff>
      <xdr:row>4</xdr:row>
      <xdr:rowOff>71438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68550" y="271463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2. Summary</a:t>
          </a:r>
        </a:p>
      </xdr:txBody>
    </xdr:sp>
    <xdr:clientData/>
  </xdr:twoCellAnchor>
  <xdr:twoCellAnchor>
    <xdr:from>
      <xdr:col>6</xdr:col>
      <xdr:colOff>441325</xdr:colOff>
      <xdr:row>1</xdr:row>
      <xdr:rowOff>80963</xdr:rowOff>
    </xdr:from>
    <xdr:to>
      <xdr:col>8</xdr:col>
      <xdr:colOff>574675</xdr:colOff>
      <xdr:row>4</xdr:row>
      <xdr:rowOff>71438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98925" y="271463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Sensitivity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Analysis</a:t>
          </a:r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342900</xdr:colOff>
      <xdr:row>1</xdr:row>
      <xdr:rowOff>80963</xdr:rowOff>
    </xdr:from>
    <xdr:to>
      <xdr:col>11</xdr:col>
      <xdr:colOff>476250</xdr:colOff>
      <xdr:row>4</xdr:row>
      <xdr:rowOff>71438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829300" y="271463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Acquisition Financing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14287</xdr:colOff>
      <xdr:row>6</xdr:row>
      <xdr:rowOff>85725</xdr:rowOff>
    </xdr:from>
    <xdr:to>
      <xdr:col>3</xdr:col>
      <xdr:colOff>147637</xdr:colOff>
      <xdr:row>9</xdr:row>
      <xdr:rowOff>76200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3887" y="1228725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5. Projected</a:t>
          </a:r>
          <a:r>
            <a:rPr lang="en-US" sz="1100" baseline="0">
              <a:solidFill>
                <a:sysClr val="windowText" lastClr="000000"/>
              </a:solidFill>
            </a:rPr>
            <a:t> Income Statement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536575</xdr:colOff>
      <xdr:row>6</xdr:row>
      <xdr:rowOff>85725</xdr:rowOff>
    </xdr:from>
    <xdr:to>
      <xdr:col>6</xdr:col>
      <xdr:colOff>60325</xdr:colOff>
      <xdr:row>9</xdr:row>
      <xdr:rowOff>76200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3653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Projected Sales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434975</xdr:colOff>
      <xdr:row>6</xdr:row>
      <xdr:rowOff>85725</xdr:rowOff>
    </xdr:from>
    <xdr:to>
      <xdr:col>8</xdr:col>
      <xdr:colOff>568325</xdr:colOff>
      <xdr:row>9</xdr:row>
      <xdr:rowOff>76200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0925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Projected Payroll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333375</xdr:colOff>
      <xdr:row>6</xdr:row>
      <xdr:rowOff>85725</xdr:rowOff>
    </xdr:from>
    <xdr:to>
      <xdr:col>11</xdr:col>
      <xdr:colOff>466725</xdr:colOff>
      <xdr:row>9</xdr:row>
      <xdr:rowOff>76200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197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Projected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Operating Expenses</a:t>
          </a:r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147637</xdr:colOff>
      <xdr:row>2</xdr:row>
      <xdr:rowOff>171451</xdr:rowOff>
    </xdr:from>
    <xdr:to>
      <xdr:col>3</xdr:col>
      <xdr:colOff>539750</xdr:colOff>
      <xdr:row>2</xdr:row>
      <xdr:rowOff>171451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3"/>
          <a:endCxn id="3" idx="1"/>
        </xdr:cNvCxnSpPr>
      </xdr:nvCxnSpPr>
      <xdr:spPr>
        <a:xfrm>
          <a:off x="1976437" y="5524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576262</xdr:colOff>
      <xdr:row>3</xdr:row>
      <xdr:rowOff>9526</xdr:rowOff>
    </xdr:from>
    <xdr:to>
      <xdr:col>9</xdr:col>
      <xdr:colOff>358775</xdr:colOff>
      <xdr:row>3</xdr:row>
      <xdr:rowOff>9526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5453062" y="581026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147637</xdr:colOff>
      <xdr:row>7</xdr:row>
      <xdr:rowOff>171451</xdr:rowOff>
    </xdr:from>
    <xdr:to>
      <xdr:col>3</xdr:col>
      <xdr:colOff>539750</xdr:colOff>
      <xdr:row>7</xdr:row>
      <xdr:rowOff>171451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976437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61912</xdr:colOff>
      <xdr:row>7</xdr:row>
      <xdr:rowOff>171451</xdr:rowOff>
    </xdr:from>
    <xdr:to>
      <xdr:col>6</xdr:col>
      <xdr:colOff>454025</xdr:colOff>
      <xdr:row>7</xdr:row>
      <xdr:rowOff>171451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3719512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566737</xdr:colOff>
      <xdr:row>7</xdr:row>
      <xdr:rowOff>171451</xdr:rowOff>
    </xdr:from>
    <xdr:to>
      <xdr:col>9</xdr:col>
      <xdr:colOff>349250</xdr:colOff>
      <xdr:row>7</xdr:row>
      <xdr:rowOff>171451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5443537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61912</xdr:colOff>
      <xdr:row>2</xdr:row>
      <xdr:rowOff>180976</xdr:rowOff>
    </xdr:from>
    <xdr:to>
      <xdr:col>6</xdr:col>
      <xdr:colOff>454025</xdr:colOff>
      <xdr:row>2</xdr:row>
      <xdr:rowOff>180976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3719512" y="561976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</xdr:colOff>
      <xdr:row>4</xdr:row>
      <xdr:rowOff>71439</xdr:rowOff>
    </xdr:from>
    <xdr:to>
      <xdr:col>10</xdr:col>
      <xdr:colOff>409575</xdr:colOff>
      <xdr:row>5</xdr:row>
      <xdr:rowOff>66679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>
          <a:stCxn id="5" idx="2"/>
        </xdr:cNvCxnSpPr>
      </xdr:nvCxnSpPr>
      <xdr:spPr>
        <a:xfrm rot="5400000">
          <a:off x="3807618" y="-1678779"/>
          <a:ext cx="185740" cy="5210175"/>
        </a:xfrm>
        <a:prstGeom prst="bentConnector2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80962</xdr:colOff>
      <xdr:row>5</xdr:row>
      <xdr:rowOff>76200</xdr:rowOff>
    </xdr:from>
    <xdr:to>
      <xdr:col>2</xdr:col>
      <xdr:colOff>85725</xdr:colOff>
      <xdr:row>6</xdr:row>
      <xdr:rowOff>85725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6" idx="0"/>
        </xdr:cNvCxnSpPr>
      </xdr:nvCxnSpPr>
      <xdr:spPr>
        <a:xfrm flipH="1">
          <a:off x="1300162" y="1028700"/>
          <a:ext cx="4763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andon/OneDrive/Upskill%20LLC/Program%20Materials/Excel%20Courses/Financial%20Modeling/Videos/Case%20Study%202%20-%20Financial%20Reporting/Case%20Study%202%20-%20Financial%20Reporting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andon/OneDrive/Upskill%20LLC/Program%20Materials/Excel%20Courses/Financial%20Modeling/Videos/Case%20Study%201%20-%20Financial%20Forecast/Case%20Study%201%20-%20Financial%20Forecast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Design"/>
      <sheetName val="1. Instructions"/>
      <sheetName val="2. Dashboard"/>
      <sheetName val="3. Sales Reconciliation"/>
      <sheetName val="4. Inc Statement Reconciliation"/>
      <sheetName val="5. Projected Sales"/>
      <sheetName val="6. Actual Sales Data"/>
      <sheetName val="7. Projected Income Statement"/>
      <sheetName val="8. Actual Income Statemen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">
          <cell r="A5" t="str">
            <v>Month</v>
          </cell>
          <cell r="B5" t="str">
            <v>Qty Sold - Lemonade</v>
          </cell>
          <cell r="C5" t="str">
            <v>Qty Sold - Pink Lemonade</v>
          </cell>
          <cell r="D5" t="str">
            <v>Total Qty Sold</v>
          </cell>
          <cell r="E5" t="str">
            <v>Sales Price - Lemonade</v>
          </cell>
          <cell r="F5" t="str">
            <v>Sales Price - Pink Lemonade</v>
          </cell>
          <cell r="G5" t="str">
            <v>Total Sales</v>
          </cell>
        </row>
        <row r="6">
          <cell r="A6" t="str">
            <v>January</v>
          </cell>
          <cell r="B6">
            <v>18</v>
          </cell>
          <cell r="C6">
            <v>8</v>
          </cell>
          <cell r="D6">
            <v>26</v>
          </cell>
          <cell r="E6">
            <v>2</v>
          </cell>
          <cell r="F6">
            <v>2.25</v>
          </cell>
          <cell r="G6">
            <v>54</v>
          </cell>
        </row>
        <row r="7">
          <cell r="A7" t="str">
            <v>February</v>
          </cell>
          <cell r="B7">
            <v>20</v>
          </cell>
          <cell r="C7">
            <v>7</v>
          </cell>
          <cell r="D7">
            <v>27</v>
          </cell>
          <cell r="E7">
            <v>2</v>
          </cell>
          <cell r="F7">
            <v>2.25</v>
          </cell>
          <cell r="G7">
            <v>55.75</v>
          </cell>
        </row>
        <row r="8">
          <cell r="A8" t="str">
            <v>March</v>
          </cell>
          <cell r="B8">
            <v>40</v>
          </cell>
          <cell r="C8">
            <v>13</v>
          </cell>
          <cell r="D8">
            <v>53</v>
          </cell>
          <cell r="E8">
            <v>2</v>
          </cell>
          <cell r="F8">
            <v>2.25</v>
          </cell>
          <cell r="G8">
            <v>109.25</v>
          </cell>
        </row>
        <row r="9">
          <cell r="A9" t="str">
            <v>April</v>
          </cell>
          <cell r="B9">
            <v>76</v>
          </cell>
          <cell r="C9">
            <v>30</v>
          </cell>
          <cell r="D9">
            <v>106</v>
          </cell>
          <cell r="E9">
            <v>2</v>
          </cell>
          <cell r="F9">
            <v>2.25</v>
          </cell>
          <cell r="G9">
            <v>219.5</v>
          </cell>
        </row>
        <row r="10">
          <cell r="A10" t="str">
            <v>May</v>
          </cell>
          <cell r="B10">
            <v>451</v>
          </cell>
          <cell r="C10">
            <v>156</v>
          </cell>
          <cell r="D10">
            <v>607</v>
          </cell>
          <cell r="E10">
            <v>2</v>
          </cell>
          <cell r="F10">
            <v>2.25</v>
          </cell>
          <cell r="G10">
            <v>1253</v>
          </cell>
        </row>
        <row r="11">
          <cell r="A11" t="str">
            <v>June</v>
          </cell>
          <cell r="B11">
            <v>717</v>
          </cell>
          <cell r="C11">
            <v>266</v>
          </cell>
          <cell r="D11">
            <v>983</v>
          </cell>
          <cell r="E11">
            <v>2</v>
          </cell>
          <cell r="F11">
            <v>2.25</v>
          </cell>
          <cell r="G11">
            <v>2032.5</v>
          </cell>
        </row>
        <row r="12">
          <cell r="A12" t="str">
            <v>July</v>
          </cell>
          <cell r="B12">
            <v>979</v>
          </cell>
          <cell r="C12">
            <v>335</v>
          </cell>
          <cell r="D12">
            <v>1314</v>
          </cell>
          <cell r="E12">
            <v>2</v>
          </cell>
          <cell r="F12">
            <v>2.25</v>
          </cell>
          <cell r="G12">
            <v>2711.75</v>
          </cell>
        </row>
        <row r="13">
          <cell r="A13" t="str">
            <v>August</v>
          </cell>
          <cell r="B13">
            <v>818</v>
          </cell>
          <cell r="C13">
            <v>341</v>
          </cell>
          <cell r="D13">
            <v>1159</v>
          </cell>
          <cell r="E13">
            <v>2</v>
          </cell>
          <cell r="F13">
            <v>2.25</v>
          </cell>
          <cell r="G13">
            <v>2403.25</v>
          </cell>
        </row>
        <row r="14">
          <cell r="A14" t="str">
            <v>September</v>
          </cell>
          <cell r="B14">
            <v>670</v>
          </cell>
          <cell r="C14">
            <v>269</v>
          </cell>
          <cell r="D14">
            <v>939</v>
          </cell>
          <cell r="E14">
            <v>2</v>
          </cell>
          <cell r="F14">
            <v>2.25</v>
          </cell>
          <cell r="G14">
            <v>1945.25</v>
          </cell>
        </row>
        <row r="15">
          <cell r="A15" t="str">
            <v>October</v>
          </cell>
          <cell r="B15">
            <v>168</v>
          </cell>
          <cell r="C15">
            <v>56</v>
          </cell>
          <cell r="D15">
            <v>224</v>
          </cell>
          <cell r="E15">
            <v>2</v>
          </cell>
          <cell r="F15">
            <v>2.25</v>
          </cell>
          <cell r="G15">
            <v>462</v>
          </cell>
        </row>
        <row r="16">
          <cell r="A16" t="str">
            <v>November</v>
          </cell>
          <cell r="B16">
            <v>67</v>
          </cell>
          <cell r="C16">
            <v>15</v>
          </cell>
          <cell r="D16">
            <v>82</v>
          </cell>
          <cell r="E16">
            <v>2</v>
          </cell>
          <cell r="F16">
            <v>2.25</v>
          </cell>
          <cell r="G16">
            <v>167.75</v>
          </cell>
        </row>
        <row r="17">
          <cell r="A17" t="str">
            <v>December</v>
          </cell>
          <cell r="B17">
            <v>33</v>
          </cell>
          <cell r="C17">
            <v>15</v>
          </cell>
          <cell r="D17">
            <v>48</v>
          </cell>
          <cell r="E17">
            <v>2</v>
          </cell>
          <cell r="F17">
            <v>2.25</v>
          </cell>
          <cell r="G17">
            <v>99.75</v>
          </cell>
        </row>
      </sheetData>
      <sheetData sheetId="7">
        <row r="6">
          <cell r="E6" t="str">
            <v>January</v>
          </cell>
          <cell r="F6" t="str">
            <v>February</v>
          </cell>
          <cell r="G6" t="str">
            <v>March</v>
          </cell>
          <cell r="H6" t="str">
            <v>April</v>
          </cell>
          <cell r="I6" t="str">
            <v>May</v>
          </cell>
          <cell r="J6" t="str">
            <v>June</v>
          </cell>
          <cell r="K6" t="str">
            <v>July</v>
          </cell>
          <cell r="L6" t="str">
            <v>August</v>
          </cell>
          <cell r="M6" t="str">
            <v>September</v>
          </cell>
          <cell r="N6" t="str">
            <v>October</v>
          </cell>
          <cell r="O6" t="str">
            <v>November</v>
          </cell>
          <cell r="P6" t="str">
            <v>December</v>
          </cell>
          <cell r="Q6" t="str">
            <v>Totals</v>
          </cell>
        </row>
        <row r="8">
          <cell r="A8" t="str">
            <v>Income</v>
          </cell>
        </row>
        <row r="9">
          <cell r="B9" t="str">
            <v>Regular Lemonade</v>
          </cell>
          <cell r="E9">
            <v>33</v>
          </cell>
          <cell r="F9">
            <v>39.6</v>
          </cell>
          <cell r="G9">
            <v>77</v>
          </cell>
          <cell r="H9">
            <v>154</v>
          </cell>
          <cell r="I9">
            <v>851.40000000000009</v>
          </cell>
          <cell r="J9">
            <v>1392.6000000000001</v>
          </cell>
          <cell r="K9">
            <v>1702.8000000000002</v>
          </cell>
          <cell r="L9">
            <v>1702.8000000000002</v>
          </cell>
          <cell r="M9">
            <v>1313.4</v>
          </cell>
          <cell r="N9">
            <v>310.20000000000005</v>
          </cell>
          <cell r="O9">
            <v>123.20000000000002</v>
          </cell>
          <cell r="P9">
            <v>70.400000000000006</v>
          </cell>
          <cell r="Q9">
            <v>7770.4</v>
          </cell>
        </row>
        <row r="10">
          <cell r="B10" t="str">
            <v>Pink Lemonade</v>
          </cell>
          <cell r="E10">
            <v>18.112499999999997</v>
          </cell>
          <cell r="F10">
            <v>15.524999999999999</v>
          </cell>
          <cell r="G10">
            <v>31.049999999999997</v>
          </cell>
          <cell r="H10">
            <v>62.099999999999994</v>
          </cell>
          <cell r="I10">
            <v>333.78749999999997</v>
          </cell>
          <cell r="J10">
            <v>545.96249999999998</v>
          </cell>
          <cell r="K10">
            <v>667.57499999999993</v>
          </cell>
          <cell r="L10">
            <v>667.57499999999993</v>
          </cell>
          <cell r="M10">
            <v>517.49999999999989</v>
          </cell>
          <cell r="N10">
            <v>121.6125</v>
          </cell>
          <cell r="O10">
            <v>31.049999999999997</v>
          </cell>
          <cell r="P10">
            <v>31.049999999999997</v>
          </cell>
          <cell r="Q10">
            <v>3042.9</v>
          </cell>
        </row>
        <row r="11">
          <cell r="A11" t="str">
            <v>Total Income</v>
          </cell>
          <cell r="E11">
            <v>51.112499999999997</v>
          </cell>
          <cell r="F11">
            <v>55.125</v>
          </cell>
          <cell r="G11">
            <v>108.05</v>
          </cell>
          <cell r="H11">
            <v>216.1</v>
          </cell>
          <cell r="I11">
            <v>1185.1875</v>
          </cell>
          <cell r="J11">
            <v>1938.5625</v>
          </cell>
          <cell r="K11">
            <v>2370.375</v>
          </cell>
          <cell r="L11">
            <v>2370.375</v>
          </cell>
          <cell r="M11">
            <v>1830.9</v>
          </cell>
          <cell r="N11">
            <v>431.81250000000006</v>
          </cell>
          <cell r="O11">
            <v>154.25</v>
          </cell>
          <cell r="P11">
            <v>101.45</v>
          </cell>
          <cell r="Q11">
            <v>10813.3</v>
          </cell>
        </row>
        <row r="13">
          <cell r="A13" t="str">
            <v>Cost of Sales</v>
          </cell>
        </row>
        <row r="14">
          <cell r="B14" t="str">
            <v>Regular Lemonade</v>
          </cell>
          <cell r="E14">
            <v>13.53</v>
          </cell>
          <cell r="F14">
            <v>16.236000000000001</v>
          </cell>
          <cell r="G14">
            <v>31.569999999999997</v>
          </cell>
          <cell r="H14">
            <v>63.139999999999993</v>
          </cell>
          <cell r="I14">
            <v>349.07400000000001</v>
          </cell>
          <cell r="J14">
            <v>570.96600000000001</v>
          </cell>
          <cell r="K14">
            <v>698.14800000000002</v>
          </cell>
          <cell r="L14">
            <v>698.14800000000002</v>
          </cell>
          <cell r="M14">
            <v>538.49400000000003</v>
          </cell>
          <cell r="N14">
            <v>127.18200000000002</v>
          </cell>
          <cell r="O14">
            <v>50.512</v>
          </cell>
          <cell r="P14">
            <v>28.864000000000001</v>
          </cell>
          <cell r="Q14">
            <v>3185.8640000000005</v>
          </cell>
        </row>
        <row r="15">
          <cell r="B15" t="str">
            <v>Pink Lemonade</v>
          </cell>
          <cell r="E15">
            <v>5.3129999999999988</v>
          </cell>
          <cell r="F15">
            <v>4.5539999999999994</v>
          </cell>
          <cell r="G15">
            <v>9.1079999999999988</v>
          </cell>
          <cell r="H15">
            <v>18.215999999999998</v>
          </cell>
          <cell r="I15">
            <v>97.910999999999987</v>
          </cell>
          <cell r="J15">
            <v>160.149</v>
          </cell>
          <cell r="K15">
            <v>195.82199999999997</v>
          </cell>
          <cell r="L15">
            <v>195.82199999999997</v>
          </cell>
          <cell r="M15">
            <v>151.79999999999995</v>
          </cell>
          <cell r="N15">
            <v>35.673000000000002</v>
          </cell>
          <cell r="O15">
            <v>9.1079999999999988</v>
          </cell>
          <cell r="P15">
            <v>9.1079999999999988</v>
          </cell>
          <cell r="Q15">
            <v>892.58399999999983</v>
          </cell>
        </row>
        <row r="16">
          <cell r="A16" t="str">
            <v>Total Cost of Sales</v>
          </cell>
          <cell r="E16">
            <v>18.842999999999996</v>
          </cell>
          <cell r="F16">
            <v>20.79</v>
          </cell>
          <cell r="G16">
            <v>40.677999999999997</v>
          </cell>
          <cell r="H16">
            <v>81.355999999999995</v>
          </cell>
          <cell r="I16">
            <v>446.98500000000001</v>
          </cell>
          <cell r="J16">
            <v>731.11500000000001</v>
          </cell>
          <cell r="K16">
            <v>893.97</v>
          </cell>
          <cell r="L16">
            <v>893.97</v>
          </cell>
          <cell r="M16">
            <v>690.29399999999998</v>
          </cell>
          <cell r="N16">
            <v>162.85500000000002</v>
          </cell>
          <cell r="O16">
            <v>59.62</v>
          </cell>
          <cell r="P16">
            <v>37.972000000000001</v>
          </cell>
          <cell r="Q16">
            <v>4078.4480000000003</v>
          </cell>
        </row>
        <row r="18">
          <cell r="A18" t="str">
            <v>Gross Margin</v>
          </cell>
          <cell r="E18">
            <v>32.269500000000001</v>
          </cell>
          <cell r="F18">
            <v>34.335000000000001</v>
          </cell>
          <cell r="G18">
            <v>67.372</v>
          </cell>
          <cell r="H18">
            <v>134.744</v>
          </cell>
          <cell r="I18">
            <v>738.20249999999999</v>
          </cell>
          <cell r="J18">
            <v>1207.4475</v>
          </cell>
          <cell r="K18">
            <v>1476.405</v>
          </cell>
          <cell r="L18">
            <v>1476.405</v>
          </cell>
          <cell r="M18">
            <v>1140.6060000000002</v>
          </cell>
          <cell r="N18">
            <v>268.95750000000004</v>
          </cell>
          <cell r="O18">
            <v>94.63</v>
          </cell>
          <cell r="P18">
            <v>63.478000000000002</v>
          </cell>
          <cell r="Q18">
            <v>6734.851999999999</v>
          </cell>
        </row>
        <row r="20">
          <cell r="A20" t="str">
            <v>Salaries and Wages</v>
          </cell>
        </row>
        <row r="21">
          <cell r="B21" t="str">
            <v xml:space="preserve">Payroll  </v>
          </cell>
          <cell r="E21">
            <v>14.401730375000001</v>
          </cell>
          <cell r="F21">
            <v>15.554815375</v>
          </cell>
          <cell r="G21">
            <v>30.07963075</v>
          </cell>
          <cell r="H21">
            <v>60.1592615</v>
          </cell>
          <cell r="I21">
            <v>329.69143825000009</v>
          </cell>
          <cell r="J21">
            <v>539.11585350000007</v>
          </cell>
          <cell r="K21">
            <v>659.38287650000018</v>
          </cell>
          <cell r="L21">
            <v>659.38287650000018</v>
          </cell>
          <cell r="M21">
            <v>509.08772274999995</v>
          </cell>
          <cell r="N21">
            <v>120.26702299999998</v>
          </cell>
          <cell r="O21">
            <v>43.120460749999992</v>
          </cell>
          <cell r="P21">
            <v>28.494460750000002</v>
          </cell>
          <cell r="Q21">
            <v>3008.7381500000006</v>
          </cell>
        </row>
        <row r="22">
          <cell r="B22" t="str">
            <v>Payroll Taxes</v>
          </cell>
          <cell r="E22">
            <v>1.1017323736875</v>
          </cell>
          <cell r="F22">
            <v>1.1899433761875</v>
          </cell>
          <cell r="G22">
            <v>2.3010917523750001</v>
          </cell>
          <cell r="H22">
            <v>4.6021835047500002</v>
          </cell>
          <cell r="I22">
            <v>25.221395026125006</v>
          </cell>
          <cell r="J22">
            <v>41.242362792750008</v>
          </cell>
          <cell r="K22">
            <v>50.442790052250011</v>
          </cell>
          <cell r="L22">
            <v>50.442790052250011</v>
          </cell>
          <cell r="M22">
            <v>38.945210790374993</v>
          </cell>
          <cell r="N22">
            <v>9.2004272594999978</v>
          </cell>
          <cell r="O22">
            <v>3.2987152473749992</v>
          </cell>
          <cell r="P22">
            <v>2.1798262473750003</v>
          </cell>
          <cell r="Q22">
            <v>230.16846847500003</v>
          </cell>
        </row>
        <row r="23">
          <cell r="A23" t="str">
            <v>Total Salary and Wages</v>
          </cell>
          <cell r="E23">
            <v>15.503462748687502</v>
          </cell>
          <cell r="F23">
            <v>16.744758751187501</v>
          </cell>
          <cell r="G23">
            <v>32.380722502375001</v>
          </cell>
          <cell r="H23">
            <v>64.761445004750001</v>
          </cell>
          <cell r="I23">
            <v>354.91283327612507</v>
          </cell>
          <cell r="J23">
            <v>580.35821629275006</v>
          </cell>
          <cell r="K23">
            <v>709.82566655225014</v>
          </cell>
          <cell r="L23">
            <v>709.82566655225014</v>
          </cell>
          <cell r="M23">
            <v>548.03293354037498</v>
          </cell>
          <cell r="N23">
            <v>129.46745025949997</v>
          </cell>
          <cell r="O23">
            <v>46.419175997374992</v>
          </cell>
          <cell r="P23">
            <v>30.674286997375003</v>
          </cell>
          <cell r="Q23">
            <v>3238.9066184750004</v>
          </cell>
        </row>
        <row r="25">
          <cell r="A25" t="str">
            <v>Operating Expenses</v>
          </cell>
        </row>
        <row r="26">
          <cell r="B26" t="str">
            <v>Advertising</v>
          </cell>
          <cell r="E26">
            <v>14.334166666666667</v>
          </cell>
          <cell r="F26">
            <v>14.334166666666667</v>
          </cell>
          <cell r="G26">
            <v>14.334166666666667</v>
          </cell>
          <cell r="H26">
            <v>14.334166666666667</v>
          </cell>
          <cell r="I26">
            <v>14.334166666666667</v>
          </cell>
          <cell r="J26">
            <v>14.334166666666667</v>
          </cell>
          <cell r="K26">
            <v>14.334166666666667</v>
          </cell>
          <cell r="L26">
            <v>14.334166666666667</v>
          </cell>
          <cell r="M26">
            <v>14.334166666666667</v>
          </cell>
          <cell r="N26">
            <v>14.334166666666667</v>
          </cell>
          <cell r="O26">
            <v>14.334166666666667</v>
          </cell>
          <cell r="P26">
            <v>14.334166666666667</v>
          </cell>
          <cell r="Q26">
            <v>172.01000000000002</v>
          </cell>
        </row>
        <row r="27">
          <cell r="B27" t="str">
            <v>Miscellaneous</v>
          </cell>
          <cell r="E27">
            <v>3.09</v>
          </cell>
          <cell r="F27">
            <v>3.09</v>
          </cell>
          <cell r="G27">
            <v>3.09</v>
          </cell>
          <cell r="H27">
            <v>3.09</v>
          </cell>
          <cell r="I27">
            <v>3.09</v>
          </cell>
          <cell r="J27">
            <v>3.09</v>
          </cell>
          <cell r="K27">
            <v>3.09</v>
          </cell>
          <cell r="L27">
            <v>3.09</v>
          </cell>
          <cell r="M27">
            <v>3.09</v>
          </cell>
          <cell r="N27">
            <v>3.09</v>
          </cell>
          <cell r="O27">
            <v>3.09</v>
          </cell>
          <cell r="P27">
            <v>3.09</v>
          </cell>
          <cell r="Q27">
            <v>37.08</v>
          </cell>
        </row>
        <row r="28">
          <cell r="B28" t="str">
            <v>Insurance (Liability and Property)</v>
          </cell>
          <cell r="E28">
            <v>2.06</v>
          </cell>
          <cell r="F28">
            <v>2.06</v>
          </cell>
          <cell r="G28">
            <v>2.06</v>
          </cell>
          <cell r="H28">
            <v>2.06</v>
          </cell>
          <cell r="I28">
            <v>2.06</v>
          </cell>
          <cell r="J28">
            <v>2.06</v>
          </cell>
          <cell r="K28">
            <v>2.06</v>
          </cell>
          <cell r="L28">
            <v>2.06</v>
          </cell>
          <cell r="M28">
            <v>2.06</v>
          </cell>
          <cell r="N28">
            <v>2.06</v>
          </cell>
          <cell r="O28">
            <v>2.06</v>
          </cell>
          <cell r="P28">
            <v>2.06</v>
          </cell>
          <cell r="Q28">
            <v>24.719999999999995</v>
          </cell>
        </row>
        <row r="29">
          <cell r="B29" t="str">
            <v>Admin Expenses &amp; Supplies</v>
          </cell>
          <cell r="E29">
            <v>1.8025</v>
          </cell>
          <cell r="F29">
            <v>1.8025</v>
          </cell>
          <cell r="G29">
            <v>1.8025</v>
          </cell>
          <cell r="H29">
            <v>1.8025</v>
          </cell>
          <cell r="I29">
            <v>1.8025</v>
          </cell>
          <cell r="J29">
            <v>1.8025</v>
          </cell>
          <cell r="K29">
            <v>1.8025</v>
          </cell>
          <cell r="L29">
            <v>1.8025</v>
          </cell>
          <cell r="M29">
            <v>1.8025</v>
          </cell>
          <cell r="N29">
            <v>1.8025</v>
          </cell>
          <cell r="O29">
            <v>1.8025</v>
          </cell>
          <cell r="P29">
            <v>1.8025</v>
          </cell>
          <cell r="Q29">
            <v>21.629999999999995</v>
          </cell>
        </row>
        <row r="30">
          <cell r="B30" t="str">
            <v>Rent</v>
          </cell>
          <cell r="E30">
            <v>25.347544666666671</v>
          </cell>
          <cell r="F30">
            <v>25.347544666666671</v>
          </cell>
          <cell r="G30">
            <v>25.347544666666671</v>
          </cell>
          <cell r="H30">
            <v>25.347544666666671</v>
          </cell>
          <cell r="I30">
            <v>25.347544666666671</v>
          </cell>
          <cell r="J30">
            <v>25.347544666666671</v>
          </cell>
          <cell r="K30">
            <v>25.347544666666671</v>
          </cell>
          <cell r="L30">
            <v>25.347544666666671</v>
          </cell>
          <cell r="M30">
            <v>25.347544666666671</v>
          </cell>
          <cell r="N30">
            <v>25.347544666666671</v>
          </cell>
          <cell r="O30">
            <v>25.347544666666671</v>
          </cell>
          <cell r="P30">
            <v>25.347544666666671</v>
          </cell>
          <cell r="Q30">
            <v>304.17053600000003</v>
          </cell>
        </row>
        <row r="31">
          <cell r="B31" t="str">
            <v>Taxes-Other</v>
          </cell>
          <cell r="E31">
            <v>2.06</v>
          </cell>
          <cell r="F31">
            <v>2.06</v>
          </cell>
          <cell r="G31">
            <v>2.06</v>
          </cell>
          <cell r="H31">
            <v>2.06</v>
          </cell>
          <cell r="I31">
            <v>2.06</v>
          </cell>
          <cell r="J31">
            <v>2.06</v>
          </cell>
          <cell r="K31">
            <v>2.06</v>
          </cell>
          <cell r="L31">
            <v>2.06</v>
          </cell>
          <cell r="M31">
            <v>2.06</v>
          </cell>
          <cell r="N31">
            <v>2.06</v>
          </cell>
          <cell r="O31">
            <v>2.06</v>
          </cell>
          <cell r="P31">
            <v>2.06</v>
          </cell>
          <cell r="Q31">
            <v>24.719999999999995</v>
          </cell>
        </row>
        <row r="32">
          <cell r="A32" t="str">
            <v>Total Operating Expenses</v>
          </cell>
          <cell r="E32">
            <v>48.694211333333335</v>
          </cell>
          <cell r="F32">
            <v>48.694211333333335</v>
          </cell>
          <cell r="G32">
            <v>48.694211333333335</v>
          </cell>
          <cell r="H32">
            <v>48.694211333333335</v>
          </cell>
          <cell r="I32">
            <v>48.694211333333335</v>
          </cell>
          <cell r="J32">
            <v>48.694211333333335</v>
          </cell>
          <cell r="K32">
            <v>48.694211333333335</v>
          </cell>
          <cell r="L32">
            <v>48.694211333333335</v>
          </cell>
          <cell r="M32">
            <v>48.694211333333335</v>
          </cell>
          <cell r="N32">
            <v>48.694211333333335</v>
          </cell>
          <cell r="O32">
            <v>48.694211333333335</v>
          </cell>
          <cell r="P32">
            <v>48.694211333333335</v>
          </cell>
          <cell r="Q32">
            <v>584.33053600000005</v>
          </cell>
        </row>
        <row r="34">
          <cell r="A34" t="str">
            <v>Other Expenses</v>
          </cell>
        </row>
        <row r="35">
          <cell r="B35" t="str">
            <v>Depreciation</v>
          </cell>
          <cell r="E35">
            <v>5.833333333333333</v>
          </cell>
          <cell r="F35">
            <v>5.833333333333333</v>
          </cell>
          <cell r="G35">
            <v>5.833333333333333</v>
          </cell>
          <cell r="H35">
            <v>5.833333333333333</v>
          </cell>
          <cell r="I35">
            <v>5.833333333333333</v>
          </cell>
          <cell r="J35">
            <v>5.833333333333333</v>
          </cell>
          <cell r="K35">
            <v>5.833333333333333</v>
          </cell>
          <cell r="L35">
            <v>5.833333333333333</v>
          </cell>
          <cell r="M35">
            <v>5.833333333333333</v>
          </cell>
          <cell r="N35">
            <v>5.833333333333333</v>
          </cell>
          <cell r="O35">
            <v>5.833333333333333</v>
          </cell>
          <cell r="P35">
            <v>5.833333333333333</v>
          </cell>
          <cell r="Q35">
            <v>70</v>
          </cell>
        </row>
        <row r="36">
          <cell r="B36" t="str">
            <v>Commercial Loan Interest</v>
          </cell>
          <cell r="E36">
            <v>2.309546916805699</v>
          </cell>
          <cell r="F36">
            <v>2.2204893447129677</v>
          </cell>
          <cell r="G36">
            <v>2.1308380554729514</v>
          </cell>
          <cell r="H36">
            <v>2.0405890909713347</v>
          </cell>
          <cell r="I36">
            <v>1.949738466706374</v>
          </cell>
          <cell r="J36">
            <v>1.8582821716129805</v>
          </cell>
          <cell r="K36">
            <v>1.766216167885631</v>
          </cell>
          <cell r="L36">
            <v>1.6735363908000989</v>
          </cell>
          <cell r="M36">
            <v>1.5802387485339966</v>
          </cell>
          <cell r="N36">
            <v>1.4863191219861203</v>
          </cell>
          <cell r="O36">
            <v>1.3917733645945916</v>
          </cell>
          <cell r="P36">
            <v>1.296597302153786</v>
          </cell>
          <cell r="Q36">
            <v>21.70416514223653</v>
          </cell>
        </row>
        <row r="37">
          <cell r="A37" t="str">
            <v>Total Other Expenses</v>
          </cell>
          <cell r="E37">
            <v>8.1428802501390329</v>
          </cell>
          <cell r="F37">
            <v>8.0538226780463003</v>
          </cell>
          <cell r="G37">
            <v>7.9641713888062844</v>
          </cell>
          <cell r="H37">
            <v>7.8739224243046682</v>
          </cell>
          <cell r="I37">
            <v>7.783071800039707</v>
          </cell>
          <cell r="J37">
            <v>7.6916155049463137</v>
          </cell>
          <cell r="K37">
            <v>7.5995495012189638</v>
          </cell>
          <cell r="L37">
            <v>7.5068697241334323</v>
          </cell>
          <cell r="M37">
            <v>7.4135720818673292</v>
          </cell>
          <cell r="N37">
            <v>7.3196524553194529</v>
          </cell>
          <cell r="O37">
            <v>7.2251066979279246</v>
          </cell>
          <cell r="P37">
            <v>7.1299306354871188</v>
          </cell>
          <cell r="Q37">
            <v>91.704165142236533</v>
          </cell>
        </row>
        <row r="39">
          <cell r="A39" t="str">
            <v>Net Income</v>
          </cell>
          <cell r="E39">
            <v>-40.071054332159875</v>
          </cell>
          <cell r="F39">
            <v>-39.157792762567134</v>
          </cell>
          <cell r="G39">
            <v>-21.667105224514621</v>
          </cell>
          <cell r="H39">
            <v>13.414421237611995</v>
          </cell>
          <cell r="I39">
            <v>326.8123835905019</v>
          </cell>
          <cell r="J39">
            <v>570.70345686897031</v>
          </cell>
          <cell r="K39">
            <v>710.28557261319759</v>
          </cell>
          <cell r="L39">
            <v>710.37825239028302</v>
          </cell>
          <cell r="M39">
            <v>536.46528304442461</v>
          </cell>
          <cell r="N39">
            <v>83.476185951847285</v>
          </cell>
          <cell r="O39">
            <v>-7.7084940286362569</v>
          </cell>
          <cell r="P39">
            <v>-23.020428966195453</v>
          </cell>
          <cell r="Q39">
            <v>2819.9106803827622</v>
          </cell>
        </row>
        <row r="41">
          <cell r="A41" t="str">
            <v>Net Cash Flow</v>
          </cell>
          <cell r="E41">
            <v>-34.237720998826539</v>
          </cell>
          <cell r="F41">
            <v>-33.324459429233798</v>
          </cell>
          <cell r="G41">
            <v>-15.833771891181289</v>
          </cell>
          <cell r="H41">
            <v>19.247754570945329</v>
          </cell>
          <cell r="I41">
            <v>332.64571692383521</v>
          </cell>
          <cell r="J41">
            <v>576.53679020230368</v>
          </cell>
          <cell r="K41">
            <v>716.11890594653096</v>
          </cell>
          <cell r="L41">
            <v>716.21158572361639</v>
          </cell>
          <cell r="M41">
            <v>542.29861637775798</v>
          </cell>
          <cell r="N41">
            <v>89.309519285180613</v>
          </cell>
          <cell r="O41">
            <v>-1.8751606953029238</v>
          </cell>
          <cell r="P41">
            <v>-17.187095632862121</v>
          </cell>
          <cell r="Q41">
            <v>2889.9106803827622</v>
          </cell>
        </row>
      </sheetData>
      <sheetData sheetId="8">
        <row r="6">
          <cell r="E6" t="str">
            <v>January</v>
          </cell>
          <cell r="F6" t="str">
            <v>February</v>
          </cell>
          <cell r="G6" t="str">
            <v>March</v>
          </cell>
          <cell r="H6" t="str">
            <v>April</v>
          </cell>
          <cell r="I6" t="str">
            <v>May</v>
          </cell>
          <cell r="J6" t="str">
            <v>June</v>
          </cell>
          <cell r="K6" t="str">
            <v>July</v>
          </cell>
          <cell r="L6" t="str">
            <v>August</v>
          </cell>
          <cell r="M6" t="str">
            <v>September</v>
          </cell>
          <cell r="N6" t="str">
            <v>October</v>
          </cell>
          <cell r="O6" t="str">
            <v>November</v>
          </cell>
          <cell r="P6" t="str">
            <v>December</v>
          </cell>
          <cell r="Q6" t="str">
            <v>Totals</v>
          </cell>
        </row>
        <row r="8">
          <cell r="A8" t="str">
            <v>Income</v>
          </cell>
        </row>
        <row r="9">
          <cell r="B9" t="str">
            <v>Regular Lemonade</v>
          </cell>
          <cell r="E9">
            <v>36</v>
          </cell>
          <cell r="F9">
            <v>40</v>
          </cell>
          <cell r="G9">
            <v>80</v>
          </cell>
          <cell r="H9">
            <v>152</v>
          </cell>
          <cell r="I9">
            <v>902</v>
          </cell>
          <cell r="J9">
            <v>1434</v>
          </cell>
          <cell r="K9">
            <v>1958</v>
          </cell>
          <cell r="L9">
            <v>1636</v>
          </cell>
          <cell r="M9">
            <v>1340</v>
          </cell>
          <cell r="N9">
            <v>336</v>
          </cell>
          <cell r="O9">
            <v>134</v>
          </cell>
          <cell r="P9">
            <v>66</v>
          </cell>
          <cell r="Q9">
            <v>8114</v>
          </cell>
        </row>
        <row r="10">
          <cell r="B10" t="str">
            <v>Pink Lemonade</v>
          </cell>
          <cell r="E10">
            <v>18</v>
          </cell>
          <cell r="F10">
            <v>15.75</v>
          </cell>
          <cell r="G10">
            <v>29.25</v>
          </cell>
          <cell r="H10">
            <v>67.5</v>
          </cell>
          <cell r="I10">
            <v>351</v>
          </cell>
          <cell r="J10">
            <v>598.5</v>
          </cell>
          <cell r="K10">
            <v>753.75</v>
          </cell>
          <cell r="L10">
            <v>767.25</v>
          </cell>
          <cell r="M10">
            <v>605.25</v>
          </cell>
          <cell r="N10">
            <v>126</v>
          </cell>
          <cell r="O10">
            <v>33.75</v>
          </cell>
          <cell r="P10">
            <v>33.75</v>
          </cell>
          <cell r="Q10">
            <v>3399.75</v>
          </cell>
        </row>
        <row r="11">
          <cell r="A11" t="str">
            <v>Total Income</v>
          </cell>
          <cell r="E11">
            <v>54</v>
          </cell>
          <cell r="F11">
            <v>55.75</v>
          </cell>
          <cell r="G11">
            <v>109.25</v>
          </cell>
          <cell r="H11">
            <v>219.5</v>
          </cell>
          <cell r="I11">
            <v>1253</v>
          </cell>
          <cell r="J11">
            <v>2032.5</v>
          </cell>
          <cell r="K11">
            <v>2711.75</v>
          </cell>
          <cell r="L11">
            <v>2403.25</v>
          </cell>
          <cell r="M11">
            <v>1945.25</v>
          </cell>
          <cell r="N11">
            <v>462</v>
          </cell>
          <cell r="O11">
            <v>167.75</v>
          </cell>
          <cell r="P11">
            <v>99.75</v>
          </cell>
          <cell r="Q11">
            <v>11513.75</v>
          </cell>
        </row>
        <row r="13">
          <cell r="A13" t="str">
            <v>Cost of Sales</v>
          </cell>
        </row>
        <row r="14">
          <cell r="B14" t="str">
            <v>Regular Lemonade</v>
          </cell>
          <cell r="E14">
            <v>14.76</v>
          </cell>
          <cell r="F14">
            <v>16.399999999999999</v>
          </cell>
          <cell r="G14">
            <v>32.799999999999997</v>
          </cell>
          <cell r="H14">
            <v>62.319999999999993</v>
          </cell>
          <cell r="I14">
            <v>369.82</v>
          </cell>
          <cell r="J14">
            <v>587.93999999999994</v>
          </cell>
          <cell r="K14">
            <v>802.78</v>
          </cell>
          <cell r="L14">
            <v>670.76</v>
          </cell>
          <cell r="M14">
            <v>549.4</v>
          </cell>
          <cell r="N14">
            <v>137.76</v>
          </cell>
          <cell r="O14">
            <v>54.94</v>
          </cell>
          <cell r="P14">
            <v>27.06</v>
          </cell>
          <cell r="Q14">
            <v>3326.74</v>
          </cell>
        </row>
        <row r="15">
          <cell r="B15" t="str">
            <v>Pink Lemonade</v>
          </cell>
          <cell r="E15">
            <v>5.28</v>
          </cell>
          <cell r="F15">
            <v>4.62</v>
          </cell>
          <cell r="G15">
            <v>8.58</v>
          </cell>
          <cell r="H15">
            <v>19.8</v>
          </cell>
          <cell r="I15">
            <v>102.96</v>
          </cell>
          <cell r="J15">
            <v>175.56</v>
          </cell>
          <cell r="K15">
            <v>221.1</v>
          </cell>
          <cell r="L15">
            <v>225.06</v>
          </cell>
          <cell r="M15">
            <v>177.54</v>
          </cell>
          <cell r="N15">
            <v>36.96</v>
          </cell>
          <cell r="O15">
            <v>9.9</v>
          </cell>
          <cell r="P15">
            <v>9.9</v>
          </cell>
          <cell r="Q15">
            <v>997.26</v>
          </cell>
        </row>
        <row r="16">
          <cell r="A16" t="str">
            <v>Total Cost of Sales</v>
          </cell>
          <cell r="E16">
            <v>20.04</v>
          </cell>
          <cell r="F16">
            <v>21.02</v>
          </cell>
          <cell r="G16">
            <v>41.379999999999995</v>
          </cell>
          <cell r="H16">
            <v>82.11999999999999</v>
          </cell>
          <cell r="I16">
            <v>472.78</v>
          </cell>
          <cell r="J16">
            <v>763.5</v>
          </cell>
          <cell r="K16">
            <v>1023.88</v>
          </cell>
          <cell r="L16">
            <v>895.81999999999994</v>
          </cell>
          <cell r="M16">
            <v>726.93999999999994</v>
          </cell>
          <cell r="N16">
            <v>174.72</v>
          </cell>
          <cell r="O16">
            <v>64.84</v>
          </cell>
          <cell r="P16">
            <v>36.96</v>
          </cell>
          <cell r="Q16">
            <v>4324</v>
          </cell>
        </row>
        <row r="18">
          <cell r="A18" t="str">
            <v>Gross Margin</v>
          </cell>
          <cell r="E18">
            <v>33.96</v>
          </cell>
          <cell r="F18">
            <v>34.730000000000004</v>
          </cell>
          <cell r="G18">
            <v>67.87</v>
          </cell>
          <cell r="H18">
            <v>137.38</v>
          </cell>
          <cell r="I18">
            <v>780.22</v>
          </cell>
          <cell r="J18">
            <v>1269</v>
          </cell>
          <cell r="K18">
            <v>1687.87</v>
          </cell>
          <cell r="L18">
            <v>1507.43</v>
          </cell>
          <cell r="M18">
            <v>1218.31</v>
          </cell>
          <cell r="N18">
            <v>287.27999999999997</v>
          </cell>
          <cell r="O18">
            <v>102.91</v>
          </cell>
          <cell r="P18">
            <v>62.79</v>
          </cell>
          <cell r="Q18">
            <v>7189.75</v>
          </cell>
        </row>
        <row r="20">
          <cell r="A20" t="str">
            <v>Salaries and Wages</v>
          </cell>
        </row>
        <row r="21">
          <cell r="B21" t="str">
            <v xml:space="preserve">Payroll  </v>
          </cell>
          <cell r="E21">
            <v>15.282</v>
          </cell>
          <cell r="F21">
            <v>15.628500000000003</v>
          </cell>
          <cell r="G21">
            <v>30.541500000000003</v>
          </cell>
          <cell r="H21">
            <v>61.820999999999998</v>
          </cell>
          <cell r="I21">
            <v>351.09900000000005</v>
          </cell>
          <cell r="J21">
            <v>571.05000000000007</v>
          </cell>
          <cell r="K21">
            <v>759.54149999999993</v>
          </cell>
          <cell r="L21">
            <v>678.34350000000006</v>
          </cell>
          <cell r="M21">
            <v>548.23950000000002</v>
          </cell>
          <cell r="N21">
            <v>129.27599999999998</v>
          </cell>
          <cell r="O21">
            <v>46.3095</v>
          </cell>
          <cell r="P21">
            <v>28.255500000000001</v>
          </cell>
          <cell r="Q21">
            <v>3235.3874999999998</v>
          </cell>
        </row>
        <row r="22">
          <cell r="B22" t="str">
            <v>Payroll Taxes</v>
          </cell>
          <cell r="E22">
            <v>1.169073</v>
          </cell>
          <cell r="F22">
            <v>1.1955802500000001</v>
          </cell>
          <cell r="G22">
            <v>2.3364247500000004</v>
          </cell>
          <cell r="H22">
            <v>4.7293064999999999</v>
          </cell>
          <cell r="I22">
            <v>26.859073500000004</v>
          </cell>
          <cell r="J22">
            <v>43.685325000000006</v>
          </cell>
          <cell r="K22">
            <v>58.104924749999995</v>
          </cell>
          <cell r="L22">
            <v>51.893277750000003</v>
          </cell>
          <cell r="M22">
            <v>41.940321750000003</v>
          </cell>
          <cell r="N22">
            <v>9.8896139999999981</v>
          </cell>
          <cell r="O22">
            <v>3.54267675</v>
          </cell>
          <cell r="P22">
            <v>2.1615457500000002</v>
          </cell>
          <cell r="Q22">
            <v>247.50714375000001</v>
          </cell>
        </row>
        <row r="23">
          <cell r="A23" t="str">
            <v>Total Salary and Wages</v>
          </cell>
          <cell r="E23">
            <v>16.451073000000001</v>
          </cell>
          <cell r="F23">
            <v>16.824080250000002</v>
          </cell>
          <cell r="G23">
            <v>32.877924750000005</v>
          </cell>
          <cell r="H23">
            <v>66.550306500000005</v>
          </cell>
          <cell r="I23">
            <v>377.95807350000007</v>
          </cell>
          <cell r="J23">
            <v>614.7353250000001</v>
          </cell>
          <cell r="K23">
            <v>817.64642474999994</v>
          </cell>
          <cell r="L23">
            <v>730.2367777500001</v>
          </cell>
          <cell r="M23">
            <v>590.17982174999997</v>
          </cell>
          <cell r="N23">
            <v>139.16561399999998</v>
          </cell>
          <cell r="O23">
            <v>49.852176749999998</v>
          </cell>
          <cell r="P23">
            <v>30.41704575</v>
          </cell>
          <cell r="Q23">
            <v>3482.8946437499999</v>
          </cell>
        </row>
        <row r="25">
          <cell r="A25" t="str">
            <v>Operating Expenses</v>
          </cell>
        </row>
        <row r="26">
          <cell r="B26" t="str">
            <v>Advertising</v>
          </cell>
          <cell r="E26">
            <v>15.337558333333334</v>
          </cell>
          <cell r="F26">
            <v>15.050875000000001</v>
          </cell>
          <cell r="G26">
            <v>15.337558333333334</v>
          </cell>
          <cell r="H26">
            <v>17.487683333333333</v>
          </cell>
          <cell r="I26">
            <v>14.047483333333332</v>
          </cell>
          <cell r="J26">
            <v>14.764191666666665</v>
          </cell>
          <cell r="K26">
            <v>17.487683333333333</v>
          </cell>
          <cell r="L26">
            <v>13.904141666666668</v>
          </cell>
          <cell r="M26">
            <v>16.054266666666667</v>
          </cell>
          <cell r="N26">
            <v>14.477508333333333</v>
          </cell>
          <cell r="O26">
            <v>17.774366666666666</v>
          </cell>
          <cell r="P26">
            <v>15.337558333333334</v>
          </cell>
          <cell r="Q26">
            <v>187.06087500000001</v>
          </cell>
        </row>
        <row r="27">
          <cell r="B27" t="str">
            <v>Miscellaneous</v>
          </cell>
          <cell r="E27">
            <v>3.0590999999999995</v>
          </cell>
          <cell r="F27">
            <v>3.5534999999999997</v>
          </cell>
          <cell r="G27">
            <v>3.0282</v>
          </cell>
          <cell r="H27">
            <v>3.6152999999999995</v>
          </cell>
          <cell r="I27">
            <v>3.3989999999999996</v>
          </cell>
          <cell r="J27">
            <v>3.1208999999999998</v>
          </cell>
          <cell r="K27">
            <v>3.5225999999999997</v>
          </cell>
          <cell r="L27">
            <v>3.4607999999999999</v>
          </cell>
          <cell r="M27">
            <v>3.8315999999999999</v>
          </cell>
          <cell r="N27">
            <v>3.3062999999999998</v>
          </cell>
          <cell r="O27">
            <v>3.1518000000000002</v>
          </cell>
          <cell r="P27">
            <v>3.6152999999999995</v>
          </cell>
          <cell r="Q27">
            <v>40.664399999999993</v>
          </cell>
        </row>
        <row r="28">
          <cell r="B28" t="str">
            <v>Insurance (Liability and Property)</v>
          </cell>
          <cell r="E28">
            <v>2.5750000000000002</v>
          </cell>
          <cell r="F28">
            <v>2.2454000000000001</v>
          </cell>
          <cell r="G28">
            <v>1.9982</v>
          </cell>
          <cell r="H28">
            <v>2.3483999999999998</v>
          </cell>
          <cell r="I28">
            <v>2.3071999999999999</v>
          </cell>
          <cell r="J28">
            <v>2.4102000000000001</v>
          </cell>
          <cell r="K28">
            <v>2.3896000000000002</v>
          </cell>
          <cell r="L28">
            <v>2.1424000000000003</v>
          </cell>
          <cell r="M28">
            <v>2.472</v>
          </cell>
          <cell r="N28">
            <v>2.3690000000000002</v>
          </cell>
          <cell r="O28">
            <v>2.4102000000000001</v>
          </cell>
          <cell r="P28">
            <v>2.1424000000000003</v>
          </cell>
          <cell r="Q28">
            <v>27.810000000000002</v>
          </cell>
        </row>
        <row r="29">
          <cell r="B29" t="str">
            <v>Admin Expenses &amp; Supplies</v>
          </cell>
          <cell r="E29">
            <v>1.8385499999999999</v>
          </cell>
          <cell r="F29">
            <v>2.1630000000000003</v>
          </cell>
          <cell r="G29">
            <v>2.0728749999999998</v>
          </cell>
          <cell r="H29">
            <v>2.181025</v>
          </cell>
          <cell r="I29">
            <v>2.0548500000000001</v>
          </cell>
          <cell r="J29">
            <v>2.0728749999999998</v>
          </cell>
          <cell r="K29">
            <v>2.0548500000000001</v>
          </cell>
          <cell r="L29">
            <v>1.8205250000000002</v>
          </cell>
          <cell r="M29">
            <v>2.1630000000000003</v>
          </cell>
          <cell r="N29">
            <v>2.0909</v>
          </cell>
          <cell r="O29">
            <v>2.1990500000000002</v>
          </cell>
          <cell r="P29">
            <v>1.8926249999999998</v>
          </cell>
          <cell r="Q29">
            <v>24.604125</v>
          </cell>
        </row>
        <row r="30">
          <cell r="B30" t="str">
            <v>Rent</v>
          </cell>
          <cell r="E30">
            <v>26.614921900000002</v>
          </cell>
          <cell r="F30">
            <v>30.670529046666669</v>
          </cell>
          <cell r="G30">
            <v>26.361446453333336</v>
          </cell>
          <cell r="H30">
            <v>26.10797100666667</v>
          </cell>
          <cell r="I30">
            <v>30.670529046666669</v>
          </cell>
          <cell r="J30">
            <v>30.417053600000003</v>
          </cell>
          <cell r="K30">
            <v>30.924004493333342</v>
          </cell>
          <cell r="L30">
            <v>26.10797100666667</v>
          </cell>
          <cell r="M30">
            <v>30.670529046666669</v>
          </cell>
          <cell r="N30">
            <v>28.896200920000005</v>
          </cell>
          <cell r="O30">
            <v>29.149676366666672</v>
          </cell>
          <cell r="P30">
            <v>25.854495560000004</v>
          </cell>
          <cell r="Q30">
            <v>342.44532844666674</v>
          </cell>
        </row>
        <row r="31">
          <cell r="B31" t="str">
            <v>Taxes-Other</v>
          </cell>
          <cell r="E31">
            <v>2.5543999999999998</v>
          </cell>
          <cell r="F31">
            <v>2.3071999999999999</v>
          </cell>
          <cell r="G31">
            <v>2.1217999999999999</v>
          </cell>
          <cell r="H31">
            <v>2.266</v>
          </cell>
          <cell r="I31">
            <v>2.5543999999999998</v>
          </cell>
          <cell r="J31">
            <v>2.4102000000000001</v>
          </cell>
          <cell r="K31">
            <v>2.3483999999999998</v>
          </cell>
          <cell r="L31">
            <v>2.1424000000000003</v>
          </cell>
          <cell r="M31">
            <v>2.5131999999999999</v>
          </cell>
          <cell r="N31">
            <v>2.1836000000000002</v>
          </cell>
          <cell r="O31">
            <v>2.0394000000000001</v>
          </cell>
          <cell r="P31">
            <v>2.3071999999999999</v>
          </cell>
          <cell r="Q31">
            <v>27.748200000000004</v>
          </cell>
        </row>
        <row r="32">
          <cell r="A32" t="str">
            <v>Total Operating Expenses</v>
          </cell>
          <cell r="E32">
            <v>51.979530233333335</v>
          </cell>
          <cell r="F32">
            <v>55.990504046666672</v>
          </cell>
          <cell r="G32">
            <v>50.920079786666669</v>
          </cell>
          <cell r="H32">
            <v>54.006379340000002</v>
          </cell>
          <cell r="I32">
            <v>55.033462380000003</v>
          </cell>
          <cell r="J32">
            <v>55.195420266666673</v>
          </cell>
          <cell r="K32">
            <v>58.727137826666677</v>
          </cell>
          <cell r="L32">
            <v>49.578237673333341</v>
          </cell>
          <cell r="M32">
            <v>57.704595713333333</v>
          </cell>
          <cell r="N32">
            <v>53.323509253333341</v>
          </cell>
          <cell r="O32">
            <v>56.724493033333339</v>
          </cell>
          <cell r="P32">
            <v>51.149578893333334</v>
          </cell>
          <cell r="Q32">
            <v>650.33292844666676</v>
          </cell>
        </row>
        <row r="34">
          <cell r="A34" t="str">
            <v>Other Expenses</v>
          </cell>
        </row>
        <row r="35">
          <cell r="B35" t="str">
            <v>Depreciation</v>
          </cell>
          <cell r="E35">
            <v>5.833333333333333</v>
          </cell>
          <cell r="F35">
            <v>5.833333333333333</v>
          </cell>
          <cell r="G35">
            <v>5.833333333333333</v>
          </cell>
          <cell r="H35">
            <v>5.833333333333333</v>
          </cell>
          <cell r="I35">
            <v>5.833333333333333</v>
          </cell>
          <cell r="J35">
            <v>5.833333333333333</v>
          </cell>
          <cell r="K35">
            <v>5.833333333333333</v>
          </cell>
          <cell r="L35">
            <v>5.833333333333333</v>
          </cell>
          <cell r="M35">
            <v>5.833333333333333</v>
          </cell>
          <cell r="N35">
            <v>5.833333333333333</v>
          </cell>
          <cell r="O35">
            <v>5.833333333333333</v>
          </cell>
          <cell r="P35">
            <v>5.833333333333333</v>
          </cell>
          <cell r="Q35">
            <v>70</v>
          </cell>
        </row>
        <row r="36">
          <cell r="B36" t="str">
            <v>Commercial Loan Interest</v>
          </cell>
          <cell r="E36">
            <v>2.309546916805699</v>
          </cell>
          <cell r="F36">
            <v>2.2204893447129677</v>
          </cell>
          <cell r="G36">
            <v>2.1308380554729514</v>
          </cell>
          <cell r="H36">
            <v>2.0405890909713347</v>
          </cell>
          <cell r="I36">
            <v>1.949738466706374</v>
          </cell>
          <cell r="J36">
            <v>1.8582821716129805</v>
          </cell>
          <cell r="K36">
            <v>1.766216167885631</v>
          </cell>
          <cell r="L36">
            <v>1.6735363908000989</v>
          </cell>
          <cell r="M36">
            <v>1.5802387485339966</v>
          </cell>
          <cell r="N36">
            <v>1.4863191219861203</v>
          </cell>
          <cell r="O36">
            <v>1.3917733645945916</v>
          </cell>
          <cell r="P36">
            <v>1.296597302153786</v>
          </cell>
          <cell r="Q36">
            <v>21.70416514223653</v>
          </cell>
        </row>
        <row r="37">
          <cell r="A37" t="str">
            <v>Total Other Expenses</v>
          </cell>
          <cell r="E37">
            <v>8.1428802501390329</v>
          </cell>
          <cell r="F37">
            <v>8.0538226780463003</v>
          </cell>
          <cell r="G37">
            <v>7.9641713888062844</v>
          </cell>
          <cell r="H37">
            <v>7.8739224243046682</v>
          </cell>
          <cell r="I37">
            <v>7.783071800039707</v>
          </cell>
          <cell r="J37">
            <v>7.6916155049463137</v>
          </cell>
          <cell r="K37">
            <v>7.5995495012189638</v>
          </cell>
          <cell r="L37">
            <v>7.5068697241334323</v>
          </cell>
          <cell r="M37">
            <v>7.4135720818673292</v>
          </cell>
          <cell r="N37">
            <v>7.3196524553194529</v>
          </cell>
          <cell r="O37">
            <v>7.2251066979279246</v>
          </cell>
          <cell r="P37">
            <v>7.1299306354871188</v>
          </cell>
          <cell r="Q37">
            <v>91.704165142236533</v>
          </cell>
        </row>
        <row r="39">
          <cell r="A39" t="str">
            <v>Net Income</v>
          </cell>
          <cell r="E39">
            <v>-42.613483483472365</v>
          </cell>
          <cell r="F39">
            <v>-46.138406974712971</v>
          </cell>
          <cell r="G39">
            <v>-23.892175925472955</v>
          </cell>
          <cell r="H39">
            <v>8.9493917356953201</v>
          </cell>
          <cell r="I39">
            <v>339.44539231996026</v>
          </cell>
          <cell r="J39">
            <v>591.3776392283869</v>
          </cell>
          <cell r="K39">
            <v>803.89688792211439</v>
          </cell>
          <cell r="L39">
            <v>720.10811485253316</v>
          </cell>
          <cell r="M39">
            <v>563.01201045479934</v>
          </cell>
          <cell r="N39">
            <v>87.471224291347198</v>
          </cell>
          <cell r="O39">
            <v>-10.891776481261264</v>
          </cell>
          <cell r="P39">
            <v>-25.906555278820456</v>
          </cell>
          <cell r="Q39">
            <v>2964.8182626610969</v>
          </cell>
        </row>
        <row r="41">
          <cell r="A41" t="str">
            <v>Net Cash Flow</v>
          </cell>
          <cell r="E41">
            <v>-36.780150150139029</v>
          </cell>
          <cell r="F41">
            <v>-40.305073641379636</v>
          </cell>
          <cell r="G41">
            <v>-18.058842592139623</v>
          </cell>
          <cell r="H41">
            <v>14.782725069028654</v>
          </cell>
          <cell r="I41">
            <v>345.27872565329358</v>
          </cell>
          <cell r="J41">
            <v>597.21097256172027</v>
          </cell>
          <cell r="K41">
            <v>809.73022125544776</v>
          </cell>
          <cell r="L41">
            <v>725.94144818586653</v>
          </cell>
          <cell r="M41">
            <v>568.84534378813271</v>
          </cell>
          <cell r="N41">
            <v>93.304557624680527</v>
          </cell>
          <cell r="O41">
            <v>-5.0584431479279308</v>
          </cell>
          <cell r="P41">
            <v>-20.073221945487123</v>
          </cell>
          <cell r="Q41">
            <v>3034.8182626610969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Design"/>
      <sheetName val="1. Instructions"/>
      <sheetName val="2. Projected Income Statement"/>
      <sheetName val="3. Projected Cash Flows"/>
      <sheetName val="4. Projected Balance Sheet"/>
      <sheetName val="5. Projected Sales"/>
      <sheetName val="6. Projected Payroll"/>
      <sheetName val="7. Projected Oper. Expenses"/>
      <sheetName val="8. Business Loan"/>
      <sheetName val="9. 2015 Income Statement"/>
      <sheetName val="10. 2015 Balance Sheet"/>
      <sheetName val="11. 2015 Sales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H2" t="str">
            <v>Loan Month</v>
          </cell>
          <cell r="I2" t="str">
            <v>Principle PMT</v>
          </cell>
          <cell r="J2" t="str">
            <v>Interest PMT</v>
          </cell>
          <cell r="K2" t="str">
            <v>Total Payment</v>
          </cell>
          <cell r="L2" t="str">
            <v>Loan Balance</v>
          </cell>
        </row>
        <row r="3">
          <cell r="H3">
            <v>1</v>
          </cell>
          <cell r="I3">
            <v>12.334849397382094</v>
          </cell>
          <cell r="J3">
            <v>3.3333333333333339</v>
          </cell>
          <cell r="K3">
            <v>15.668182730715428</v>
          </cell>
          <cell r="L3">
            <v>487.66515060261793</v>
          </cell>
        </row>
        <row r="4">
          <cell r="H4">
            <v>2</v>
          </cell>
          <cell r="I4">
            <v>12.417081726697974</v>
          </cell>
          <cell r="J4">
            <v>3.2511010040174533</v>
          </cell>
          <cell r="K4">
            <v>15.668182730715428</v>
          </cell>
          <cell r="L4">
            <v>475.24806887591996</v>
          </cell>
        </row>
        <row r="5">
          <cell r="H5">
            <v>3</v>
          </cell>
          <cell r="I5">
            <v>12.499862271542627</v>
          </cell>
          <cell r="J5">
            <v>3.1683204591727998</v>
          </cell>
          <cell r="K5">
            <v>15.668182730715426</v>
          </cell>
          <cell r="L5">
            <v>462.74820660437734</v>
          </cell>
        </row>
        <row r="6">
          <cell r="H6">
            <v>4</v>
          </cell>
          <cell r="I6">
            <v>12.583194686686243</v>
          </cell>
          <cell r="J6">
            <v>3.0849880440291826</v>
          </cell>
          <cell r="K6">
            <v>15.668182730715426</v>
          </cell>
          <cell r="L6">
            <v>450.16501191769112</v>
          </cell>
        </row>
        <row r="7">
          <cell r="H7">
            <v>5</v>
          </cell>
          <cell r="I7">
            <v>12.667082651264153</v>
          </cell>
          <cell r="J7">
            <v>3.0011000794512741</v>
          </cell>
          <cell r="K7">
            <v>15.668182730715426</v>
          </cell>
          <cell r="L7">
            <v>437.49792926642698</v>
          </cell>
        </row>
        <row r="8">
          <cell r="H8">
            <v>6</v>
          </cell>
          <cell r="I8">
            <v>12.751529868939246</v>
          </cell>
          <cell r="J8">
            <v>2.9166528617761802</v>
          </cell>
          <cell r="K8">
            <v>15.668182730715426</v>
          </cell>
          <cell r="L8">
            <v>424.74639939748772</v>
          </cell>
        </row>
        <row r="9">
          <cell r="H9">
            <v>7</v>
          </cell>
          <cell r="I9">
            <v>12.836540068065508</v>
          </cell>
          <cell r="J9">
            <v>2.8316426626499185</v>
          </cell>
          <cell r="K9">
            <v>15.668182730715426</v>
          </cell>
          <cell r="L9">
            <v>411.9098593294222</v>
          </cell>
        </row>
        <row r="10">
          <cell r="H10">
            <v>8</v>
          </cell>
          <cell r="I10">
            <v>12.922117001852612</v>
          </cell>
          <cell r="J10">
            <v>2.7460657288628147</v>
          </cell>
          <cell r="K10">
            <v>15.668182730715428</v>
          </cell>
          <cell r="L10">
            <v>398.98774232756961</v>
          </cell>
        </row>
        <row r="11">
          <cell r="H11">
            <v>9</v>
          </cell>
          <cell r="I11">
            <v>13.008264448531628</v>
          </cell>
          <cell r="J11">
            <v>2.6599182821837974</v>
          </cell>
          <cell r="K11">
            <v>15.668182730715426</v>
          </cell>
          <cell r="L11">
            <v>385.97947787903797</v>
          </cell>
        </row>
        <row r="12">
          <cell r="H12">
            <v>10</v>
          </cell>
          <cell r="I12">
            <v>13.094986211521839</v>
          </cell>
          <cell r="J12">
            <v>2.5731965191935866</v>
          </cell>
          <cell r="K12">
            <v>15.668182730715426</v>
          </cell>
          <cell r="L12">
            <v>372.88449166751616</v>
          </cell>
        </row>
        <row r="13">
          <cell r="H13">
            <v>11</v>
          </cell>
          <cell r="I13">
            <v>13.182286119598654</v>
          </cell>
          <cell r="J13">
            <v>2.485896611116774</v>
          </cell>
          <cell r="K13">
            <v>15.668182730715428</v>
          </cell>
          <cell r="L13">
            <v>359.70220554791752</v>
          </cell>
        </row>
        <row r="14">
          <cell r="H14">
            <v>12</v>
          </cell>
          <cell r="I14">
            <v>13.270168027062644</v>
          </cell>
          <cell r="J14">
            <v>2.398014703652783</v>
          </cell>
          <cell r="K14">
            <v>15.668182730715426</v>
          </cell>
          <cell r="L14">
            <v>346.43203752085486</v>
          </cell>
        </row>
        <row r="15">
          <cell r="H15">
            <v>13</v>
          </cell>
          <cell r="I15">
            <v>13.358635813909729</v>
          </cell>
          <cell r="J15">
            <v>2.309546916805699</v>
          </cell>
          <cell r="K15">
            <v>15.668182730715428</v>
          </cell>
          <cell r="L15">
            <v>333.07340170694511</v>
          </cell>
        </row>
        <row r="16">
          <cell r="H16">
            <v>14</v>
          </cell>
          <cell r="I16">
            <v>13.447693386002459</v>
          </cell>
          <cell r="J16">
            <v>2.2204893447129677</v>
          </cell>
          <cell r="K16">
            <v>15.668182730715428</v>
          </cell>
          <cell r="L16">
            <v>319.62570832094264</v>
          </cell>
        </row>
        <row r="17">
          <cell r="H17">
            <v>15</v>
          </cell>
          <cell r="I17">
            <v>13.537344675242474</v>
          </cell>
          <cell r="J17">
            <v>2.1308380554729514</v>
          </cell>
          <cell r="K17">
            <v>15.668182730715426</v>
          </cell>
          <cell r="L17">
            <v>306.08836364570016</v>
          </cell>
        </row>
        <row r="18">
          <cell r="H18">
            <v>16</v>
          </cell>
          <cell r="I18">
            <v>13.627593639744093</v>
          </cell>
          <cell r="J18">
            <v>2.0405890909713347</v>
          </cell>
          <cell r="K18">
            <v>15.668182730715428</v>
          </cell>
          <cell r="L18">
            <v>292.46077000595608</v>
          </cell>
        </row>
        <row r="19">
          <cell r="H19">
            <v>17</v>
          </cell>
          <cell r="I19">
            <v>13.718444264009053</v>
          </cell>
          <cell r="J19">
            <v>1.949738466706374</v>
          </cell>
          <cell r="K19">
            <v>15.668182730715426</v>
          </cell>
          <cell r="L19">
            <v>278.74232574194701</v>
          </cell>
        </row>
        <row r="20">
          <cell r="H20">
            <v>18</v>
          </cell>
          <cell r="I20">
            <v>13.809900559102445</v>
          </cell>
          <cell r="J20">
            <v>1.8582821716129805</v>
          </cell>
          <cell r="K20">
            <v>15.668182730715426</v>
          </cell>
          <cell r="L20">
            <v>264.93242518284455</v>
          </cell>
        </row>
        <row r="21">
          <cell r="H21">
            <v>19</v>
          </cell>
          <cell r="I21">
            <v>13.901966562829797</v>
          </cell>
          <cell r="J21">
            <v>1.766216167885631</v>
          </cell>
          <cell r="K21">
            <v>15.668182730715428</v>
          </cell>
          <cell r="L21">
            <v>251.03045862001477</v>
          </cell>
        </row>
        <row r="22">
          <cell r="H22">
            <v>20</v>
          </cell>
          <cell r="I22">
            <v>13.994646339915329</v>
          </cell>
          <cell r="J22">
            <v>1.6735363908000989</v>
          </cell>
          <cell r="K22">
            <v>15.668182730715428</v>
          </cell>
          <cell r="L22">
            <v>237.03581228009944</v>
          </cell>
        </row>
        <row r="23">
          <cell r="H23">
            <v>21</v>
          </cell>
          <cell r="I23">
            <v>14.087943982181431</v>
          </cell>
          <cell r="J23">
            <v>1.5802387485339966</v>
          </cell>
          <cell r="K23">
            <v>15.668182730715428</v>
          </cell>
          <cell r="L23">
            <v>222.94786829791801</v>
          </cell>
        </row>
        <row r="24">
          <cell r="H24">
            <v>22</v>
          </cell>
          <cell r="I24">
            <v>14.181863608729307</v>
          </cell>
          <cell r="J24">
            <v>1.4863191219861203</v>
          </cell>
          <cell r="K24">
            <v>15.668182730715428</v>
          </cell>
          <cell r="L24">
            <v>208.76600468918869</v>
          </cell>
        </row>
        <row r="25">
          <cell r="H25">
            <v>23</v>
          </cell>
          <cell r="I25">
            <v>14.276409366120834</v>
          </cell>
          <cell r="J25">
            <v>1.3917733645945916</v>
          </cell>
          <cell r="K25">
            <v>15.668182730715426</v>
          </cell>
          <cell r="L25">
            <v>194.48959532306785</v>
          </cell>
        </row>
        <row r="26">
          <cell r="H26">
            <v>24</v>
          </cell>
          <cell r="I26">
            <v>14.371585428561639</v>
          </cell>
          <cell r="J26">
            <v>1.296597302153786</v>
          </cell>
          <cell r="K26">
            <v>15.668182730715426</v>
          </cell>
          <cell r="L26">
            <v>180.1180098945062</v>
          </cell>
        </row>
        <row r="27">
          <cell r="H27">
            <v>25</v>
          </cell>
          <cell r="I27">
            <v>14.467395998085387</v>
          </cell>
          <cell r="J27">
            <v>1.2007867326300419</v>
          </cell>
          <cell r="K27">
            <v>15.668182730715429</v>
          </cell>
          <cell r="L27">
            <v>165.65061389642082</v>
          </cell>
        </row>
        <row r="28">
          <cell r="H28">
            <v>26</v>
          </cell>
          <cell r="I28">
            <v>14.563845304739287</v>
          </cell>
          <cell r="J28">
            <v>1.1043374259761392</v>
          </cell>
          <cell r="K28">
            <v>15.668182730715426</v>
          </cell>
          <cell r="L28">
            <v>151.08676859168153</v>
          </cell>
        </row>
        <row r="29">
          <cell r="H29">
            <v>27</v>
          </cell>
          <cell r="I29">
            <v>14.660937606770883</v>
          </cell>
          <cell r="J29">
            <v>1.0072451239445439</v>
          </cell>
          <cell r="K29">
            <v>15.668182730715428</v>
          </cell>
          <cell r="L29">
            <v>136.42583098491065</v>
          </cell>
        </row>
        <row r="30">
          <cell r="H30">
            <v>28</v>
          </cell>
          <cell r="I30">
            <v>14.758677190816023</v>
          </cell>
          <cell r="J30">
            <v>0.90950553989940452</v>
          </cell>
          <cell r="K30">
            <v>15.668182730715428</v>
          </cell>
          <cell r="L30">
            <v>121.66715379409462</v>
          </cell>
        </row>
        <row r="31">
          <cell r="H31">
            <v>29</v>
          </cell>
          <cell r="I31">
            <v>14.857068372088129</v>
          </cell>
          <cell r="J31">
            <v>0.81111435862729775</v>
          </cell>
          <cell r="K31">
            <v>15.668182730715428</v>
          </cell>
          <cell r="L31">
            <v>106.81008542200649</v>
          </cell>
        </row>
        <row r="32">
          <cell r="H32">
            <v>30</v>
          </cell>
          <cell r="I32">
            <v>14.956115494568715</v>
          </cell>
          <cell r="J32">
            <v>0.7120672361467103</v>
          </cell>
          <cell r="K32">
            <v>15.668182730715426</v>
          </cell>
          <cell r="L32">
            <v>91.853969927437774</v>
          </cell>
        </row>
        <row r="33">
          <cell r="H33">
            <v>31</v>
          </cell>
          <cell r="I33">
            <v>15.055822931199174</v>
          </cell>
          <cell r="J33">
            <v>0.61235979951625219</v>
          </cell>
          <cell r="K33">
            <v>15.668182730715426</v>
          </cell>
          <cell r="L33">
            <v>76.7981469962386</v>
          </cell>
        </row>
        <row r="34">
          <cell r="H34">
            <v>32</v>
          </cell>
          <cell r="I34">
            <v>15.156195084073834</v>
          </cell>
          <cell r="J34">
            <v>0.51198764664159113</v>
          </cell>
          <cell r="K34">
            <v>15.668182730715426</v>
          </cell>
          <cell r="L34">
            <v>61.641951912164764</v>
          </cell>
        </row>
        <row r="35">
          <cell r="H35">
            <v>33</v>
          </cell>
          <cell r="I35">
            <v>15.257236384634329</v>
          </cell>
          <cell r="J35">
            <v>0.41094634608109876</v>
          </cell>
          <cell r="K35">
            <v>15.668182730715428</v>
          </cell>
          <cell r="L35">
            <v>46.384715527530432</v>
          </cell>
        </row>
        <row r="36">
          <cell r="H36">
            <v>34</v>
          </cell>
          <cell r="I36">
            <v>15.358951293865225</v>
          </cell>
          <cell r="J36">
            <v>0.30923143685020321</v>
          </cell>
          <cell r="K36">
            <v>15.668182730715428</v>
          </cell>
          <cell r="L36">
            <v>31.025764233665207</v>
          </cell>
        </row>
        <row r="37">
          <cell r="H37">
            <v>35</v>
          </cell>
          <cell r="I37">
            <v>15.461344302490989</v>
          </cell>
          <cell r="J37">
            <v>0.20683842822443504</v>
          </cell>
          <cell r="K37">
            <v>15.668182730715424</v>
          </cell>
          <cell r="L37">
            <v>15.564419931174218</v>
          </cell>
        </row>
        <row r="38">
          <cell r="H38">
            <v>36</v>
          </cell>
          <cell r="I38">
            <v>15.564419931174266</v>
          </cell>
          <cell r="J38">
            <v>0.10376279954116177</v>
          </cell>
          <cell r="K38">
            <v>15.668182730715428</v>
          </cell>
          <cell r="L38">
            <v>-4.7961634663806763E-14</v>
          </cell>
        </row>
        <row r="39"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</row>
        <row r="40"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</row>
        <row r="41"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</row>
        <row r="42"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</row>
        <row r="43"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</row>
        <row r="44"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</row>
        <row r="45"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</row>
        <row r="46"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</row>
        <row r="47"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</row>
        <row r="48"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</row>
        <row r="49"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</row>
        <row r="50"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</row>
        <row r="51"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</row>
        <row r="52"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</row>
        <row r="53"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</row>
        <row r="54"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</row>
        <row r="55"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</row>
        <row r="56"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</row>
        <row r="57"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</row>
        <row r="58"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</row>
        <row r="59"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</row>
        <row r="60"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</row>
        <row r="61"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</row>
        <row r="62"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3:D18"/>
  <sheetViews>
    <sheetView showGridLines="0" zoomScaleNormal="100" workbookViewId="0">
      <selection activeCell="C18" sqref="C18"/>
    </sheetView>
  </sheetViews>
  <sheetFormatPr defaultRowHeight="15"/>
  <cols>
    <col min="1" max="16384" width="9.140625" style="279"/>
  </cols>
  <sheetData>
    <row r="13" spans="2:4">
      <c r="B13" s="278"/>
      <c r="C13" s="278"/>
      <c r="D13" s="278"/>
    </row>
    <row r="14" spans="2:4">
      <c r="B14" s="278" t="s">
        <v>137</v>
      </c>
      <c r="C14" s="278"/>
      <c r="D14" s="278"/>
    </row>
    <row r="15" spans="2:4">
      <c r="B15" s="280" t="s">
        <v>70</v>
      </c>
      <c r="C15" s="281"/>
      <c r="D15" s="278"/>
    </row>
    <row r="16" spans="2:4">
      <c r="B16" s="278"/>
      <c r="C16" s="278"/>
      <c r="D16" s="278"/>
    </row>
    <row r="17" spans="2:4">
      <c r="B17" s="278" t="s">
        <v>136</v>
      </c>
      <c r="C17" s="278"/>
      <c r="D17" s="278"/>
    </row>
    <row r="18" spans="2:4">
      <c r="B18" s="280" t="s">
        <v>70</v>
      </c>
      <c r="C18" s="282"/>
      <c r="D18" s="278"/>
    </row>
  </sheetData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pageSetUpPr fitToPage="1"/>
  </sheetPr>
  <dimension ref="B2:C25"/>
  <sheetViews>
    <sheetView showGridLines="0" zoomScaleNormal="100" workbookViewId="0">
      <selection activeCell="K28" sqref="K28"/>
    </sheetView>
  </sheetViews>
  <sheetFormatPr defaultRowHeight="12"/>
  <sheetData>
    <row r="2" spans="2:3" ht="18">
      <c r="B2" s="81" t="s">
        <v>67</v>
      </c>
    </row>
    <row r="4" spans="2:3">
      <c r="B4" s="11" t="s">
        <v>138</v>
      </c>
    </row>
    <row r="5" spans="2:3">
      <c r="B5" s="11" t="s">
        <v>139</v>
      </c>
    </row>
    <row r="6" spans="2:3">
      <c r="B6" s="11" t="s">
        <v>140</v>
      </c>
    </row>
    <row r="8" spans="2:3" ht="18">
      <c r="B8" s="81" t="s">
        <v>68</v>
      </c>
    </row>
    <row r="10" spans="2:3">
      <c r="B10" s="278" t="s">
        <v>137</v>
      </c>
    </row>
    <row r="11" spans="2:3">
      <c r="B11" s="82" t="s">
        <v>70</v>
      </c>
      <c r="C11" s="49"/>
    </row>
    <row r="13" spans="2:3">
      <c r="B13" s="278" t="s">
        <v>136</v>
      </c>
    </row>
    <row r="14" spans="2:3">
      <c r="B14" s="82" t="s">
        <v>70</v>
      </c>
      <c r="C14" s="83"/>
    </row>
    <row r="16" spans="2:3" ht="18">
      <c r="B16" s="81" t="s">
        <v>69</v>
      </c>
    </row>
    <row r="18" spans="2:3">
      <c r="B18" s="13" t="s">
        <v>71</v>
      </c>
    </row>
    <row r="19" spans="2:3">
      <c r="B19" s="82" t="s">
        <v>70</v>
      </c>
      <c r="C19">
        <v>47</v>
      </c>
    </row>
    <row r="21" spans="2:3">
      <c r="B21" s="13" t="s">
        <v>72</v>
      </c>
    </row>
    <row r="22" spans="2:3">
      <c r="B22" s="82" t="s">
        <v>70</v>
      </c>
      <c r="C22" s="84">
        <v>47</v>
      </c>
    </row>
    <row r="24" spans="2:3">
      <c r="B24" s="13" t="s">
        <v>73</v>
      </c>
    </row>
    <row r="25" spans="2:3">
      <c r="B25" s="82" t="s">
        <v>70</v>
      </c>
      <c r="C25" s="60">
        <v>47</v>
      </c>
    </row>
  </sheetData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99"/>
    <pageSetUpPr fitToPage="1"/>
  </sheetPr>
  <dimension ref="A1:W81"/>
  <sheetViews>
    <sheetView showGridLines="0" tabSelected="1" view="pageBreakPreview" zoomScaleNormal="85" zoomScaleSheetLayoutView="100" workbookViewId="0">
      <selection activeCell="F8" sqref="F8"/>
    </sheetView>
  </sheetViews>
  <sheetFormatPr defaultColWidth="8.85546875" defaultRowHeight="14.25"/>
  <cols>
    <col min="1" max="1" width="2.5703125" style="105" customWidth="1"/>
    <col min="2" max="2" width="20.42578125" style="105" customWidth="1"/>
    <col min="3" max="3" width="18.85546875" style="105" bestFit="1" customWidth="1"/>
    <col min="4" max="4" width="15.85546875" style="105" bestFit="1" customWidth="1"/>
    <col min="5" max="5" width="12" style="105" bestFit="1" customWidth="1"/>
    <col min="6" max="6" width="15.28515625" style="105" customWidth="1"/>
    <col min="7" max="7" width="15.85546875" style="105" customWidth="1"/>
    <col min="8" max="9" width="15.28515625" style="105" customWidth="1"/>
    <col min="10" max="10" width="15.140625" style="105" customWidth="1"/>
    <col min="11" max="11" width="15.42578125" style="105" customWidth="1"/>
    <col min="12" max="15" width="15" style="105" bestFit="1" customWidth="1"/>
    <col min="16" max="43" width="15" style="11" bestFit="1" customWidth="1"/>
    <col min="44" max="44" width="16.42578125" style="11" bestFit="1" customWidth="1"/>
    <col min="45" max="56" width="15" style="11" bestFit="1" customWidth="1"/>
    <col min="57" max="57" width="14.85546875" style="11" bestFit="1" customWidth="1"/>
    <col min="58" max="61" width="15" style="11" bestFit="1" customWidth="1"/>
    <col min="62" max="62" width="14.85546875" style="11" bestFit="1" customWidth="1"/>
    <col min="63" max="64" width="15" style="11" bestFit="1" customWidth="1"/>
    <col min="65" max="65" width="14.85546875" style="11" bestFit="1" customWidth="1"/>
    <col min="66" max="70" width="15" style="11" bestFit="1" customWidth="1"/>
    <col min="71" max="73" width="14.85546875" style="11" bestFit="1" customWidth="1"/>
    <col min="74" max="82" width="15" style="11" bestFit="1" customWidth="1"/>
    <col min="83" max="83" width="14.85546875" style="11" bestFit="1" customWidth="1"/>
    <col min="84" max="84" width="15" style="11" bestFit="1" customWidth="1"/>
    <col min="85" max="85" width="14.85546875" style="11" bestFit="1" customWidth="1"/>
    <col min="86" max="91" width="15" style="11" bestFit="1" customWidth="1"/>
    <col min="92" max="92" width="14.85546875" style="11" bestFit="1" customWidth="1"/>
    <col min="93" max="93" width="15" style="11" bestFit="1" customWidth="1"/>
    <col min="94" max="94" width="14.85546875" style="11" bestFit="1" customWidth="1"/>
    <col min="95" max="98" width="15" style="11" bestFit="1" customWidth="1"/>
    <col min="99" max="100" width="14.85546875" style="11" bestFit="1" customWidth="1"/>
    <col min="101" max="101" width="15" style="11" bestFit="1" customWidth="1"/>
    <col min="102" max="102" width="14.85546875" style="11" bestFit="1" customWidth="1"/>
    <col min="103" max="106" width="15" style="11" bestFit="1" customWidth="1"/>
    <col min="107" max="107" width="14.85546875" style="11" bestFit="1" customWidth="1"/>
    <col min="108" max="108" width="15" style="11" bestFit="1" customWidth="1"/>
    <col min="109" max="118" width="8.85546875" style="11"/>
    <col min="119" max="120" width="12.28515625" style="11" bestFit="1" customWidth="1"/>
    <col min="121" max="143" width="8.85546875" style="11"/>
    <col min="144" max="144" width="12.7109375" style="11" bestFit="1" customWidth="1"/>
    <col min="145" max="16384" width="8.85546875" style="11"/>
  </cols>
  <sheetData>
    <row r="1" spans="1:23" ht="15.75">
      <c r="A1" s="3" t="s">
        <v>39</v>
      </c>
    </row>
    <row r="2" spans="1:23" ht="15.75">
      <c r="A2" s="3" t="s">
        <v>129</v>
      </c>
    </row>
    <row r="4" spans="1:23" ht="15">
      <c r="B4" s="291" t="s">
        <v>121</v>
      </c>
      <c r="C4" s="294"/>
      <c r="D4" s="292"/>
      <c r="E4" s="221"/>
      <c r="G4" s="295" t="s">
        <v>116</v>
      </c>
      <c r="H4" s="296"/>
      <c r="I4" s="297"/>
      <c r="L4" s="222" t="s">
        <v>75</v>
      </c>
      <c r="M4" s="223"/>
      <c r="N4" s="224" t="s">
        <v>76</v>
      </c>
      <c r="O4" s="225" t="s">
        <v>77</v>
      </c>
    </row>
    <row r="5" spans="1:23" ht="15">
      <c r="B5" s="95"/>
      <c r="C5" s="188"/>
      <c r="D5" s="93" t="s">
        <v>79</v>
      </c>
      <c r="E5" s="117"/>
      <c r="G5" s="94"/>
      <c r="H5" s="189" t="s">
        <v>117</v>
      </c>
      <c r="I5" s="190" t="s">
        <v>118</v>
      </c>
      <c r="L5" s="94"/>
      <c r="O5" s="191"/>
    </row>
    <row r="6" spans="1:23" ht="15">
      <c r="B6" s="91" t="s">
        <v>78</v>
      </c>
      <c r="D6" s="191"/>
      <c r="E6" s="118"/>
      <c r="G6" s="94" t="s">
        <v>100</v>
      </c>
      <c r="H6" s="184">
        <v>0.03</v>
      </c>
      <c r="I6" s="127">
        <f>(1+$H6)*F$29</f>
        <v>1874.577855</v>
      </c>
      <c r="L6" s="94" t="s">
        <v>123</v>
      </c>
      <c r="N6" s="153">
        <f ca="1">C59</f>
        <v>0.11459578463094178</v>
      </c>
      <c r="O6" s="154">
        <f ca="1">C75</f>
        <v>0.17999961365125849</v>
      </c>
    </row>
    <row r="7" spans="1:23">
      <c r="B7" s="97" t="s">
        <v>80</v>
      </c>
      <c r="C7" s="134">
        <v>11703.419584505133</v>
      </c>
      <c r="D7" s="122">
        <f ca="1">C7/C9</f>
        <v>0.97499999999999998</v>
      </c>
      <c r="E7" s="119"/>
      <c r="G7" s="94" t="s">
        <v>101</v>
      </c>
      <c r="H7" s="184">
        <v>0.03</v>
      </c>
      <c r="I7" s="127">
        <f>$I6*(1+$H7)</f>
        <v>1930.81519065</v>
      </c>
      <c r="L7" s="94" t="s">
        <v>124</v>
      </c>
      <c r="N7" s="155">
        <f ca="1">NPV(N6,F59:O59)</f>
        <v>12003.507266167719</v>
      </c>
      <c r="O7" s="186">
        <f ca="1">NPV(O6,F75:O75)</f>
        <v>3601.052179902812</v>
      </c>
    </row>
    <row r="8" spans="1:23">
      <c r="B8" s="97" t="s">
        <v>82</v>
      </c>
      <c r="C8" s="135">
        <f ca="1">D8*C9</f>
        <v>300.08768165397777</v>
      </c>
      <c r="D8" s="131">
        <v>2.5000000000000001E-2</v>
      </c>
      <c r="E8" s="119"/>
      <c r="G8" s="94" t="s">
        <v>102</v>
      </c>
      <c r="H8" s="184">
        <v>0.03</v>
      </c>
      <c r="I8" s="127">
        <f t="shared" ref="I8:I15" si="0">$I7*(1+$H8)</f>
        <v>1988.7396463695</v>
      </c>
      <c r="L8" s="94"/>
      <c r="O8" s="191"/>
      <c r="Q8" s="293"/>
      <c r="R8" s="293"/>
      <c r="S8" s="293"/>
      <c r="T8" s="293"/>
      <c r="U8" s="293"/>
      <c r="V8" s="293"/>
    </row>
    <row r="9" spans="1:23" ht="15">
      <c r="B9" s="151" t="s">
        <v>84</v>
      </c>
      <c r="C9" s="226">
        <f ca="1">SUM(C7:C8)</f>
        <v>12003.507266159111</v>
      </c>
      <c r="D9" s="227">
        <f ca="1">SUM(D7:D8)</f>
        <v>1</v>
      </c>
      <c r="E9" s="119"/>
      <c r="G9" s="94" t="s">
        <v>103</v>
      </c>
      <c r="H9" s="184">
        <v>0.03</v>
      </c>
      <c r="I9" s="127">
        <f t="shared" si="0"/>
        <v>2048.4018357605851</v>
      </c>
      <c r="L9" s="94" t="s">
        <v>135</v>
      </c>
      <c r="N9" s="267">
        <f ca="1">D59</f>
        <v>1.6017210056382833</v>
      </c>
      <c r="O9" s="268">
        <f ca="1">D75</f>
        <v>2.0930347598482912</v>
      </c>
    </row>
    <row r="10" spans="1:23">
      <c r="B10" s="97"/>
      <c r="C10" s="96"/>
      <c r="D10" s="122"/>
      <c r="E10" s="119"/>
      <c r="G10" s="94" t="s">
        <v>104</v>
      </c>
      <c r="H10" s="184">
        <v>0.03</v>
      </c>
      <c r="I10" s="127">
        <f t="shared" si="0"/>
        <v>2109.8538908334026</v>
      </c>
      <c r="L10" s="94"/>
      <c r="O10" s="191"/>
      <c r="Q10" s="180">
        <f ca="1">O6</f>
        <v>0.17999961365125849</v>
      </c>
      <c r="R10" s="181">
        <v>7.2499999999999995E-2</v>
      </c>
      <c r="S10" s="181">
        <v>7.4999999999999997E-2</v>
      </c>
      <c r="T10" s="181">
        <v>7.7499999999999999E-2</v>
      </c>
      <c r="U10" s="181">
        <v>0.08</v>
      </c>
      <c r="V10" s="181">
        <v>8.2500000000000004E-2</v>
      </c>
      <c r="W10" s="181">
        <v>8.5000000000000006E-2</v>
      </c>
    </row>
    <row r="11" spans="1:23" ht="15">
      <c r="B11" s="91" t="s">
        <v>86</v>
      </c>
      <c r="C11" s="100"/>
      <c r="D11" s="123"/>
      <c r="E11" s="120"/>
      <c r="G11" s="94" t="s">
        <v>105</v>
      </c>
      <c r="H11" s="184">
        <v>0.03</v>
      </c>
      <c r="I11" s="127">
        <f t="shared" si="0"/>
        <v>2173.1495075584048</v>
      </c>
      <c r="L11" s="94" t="s">
        <v>134</v>
      </c>
      <c r="N11" s="155">
        <f ca="1">MIN(E65:O65)</f>
        <v>-12003.507266159111</v>
      </c>
      <c r="O11" s="186">
        <f ca="1">MIN(E81:O81)</f>
        <v>-3601.052179847733</v>
      </c>
      <c r="Q11" s="11">
        <v>14000</v>
      </c>
      <c r="R11" s="300">
        <f t="dataTable" ref="R11:W17" dt2D="1" dtr="1" r1="C19" r2="C7" ca="1"/>
        <v>5.84625565825867E-2</v>
      </c>
      <c r="S11" s="300">
        <v>5.2943037582457553E-2</v>
      </c>
      <c r="T11" s="300">
        <v>4.735732761055611E-2</v>
      </c>
      <c r="U11" s="300">
        <v>4.170388792724955E-2</v>
      </c>
      <c r="V11" s="300">
        <v>3.5981097644515625E-2</v>
      </c>
      <c r="W11" s="300">
        <v>3.0187248137761191E-2</v>
      </c>
    </row>
    <row r="12" spans="1:23">
      <c r="B12" s="97" t="s">
        <v>87</v>
      </c>
      <c r="C12" s="132">
        <f ca="1">D12*C9</f>
        <v>8402.4550863113782</v>
      </c>
      <c r="D12" s="131">
        <v>0.7</v>
      </c>
      <c r="E12" s="121"/>
      <c r="G12" s="94" t="s">
        <v>106</v>
      </c>
      <c r="H12" s="184">
        <v>0.03</v>
      </c>
      <c r="I12" s="127">
        <f t="shared" si="0"/>
        <v>2238.3439927851568</v>
      </c>
      <c r="L12" s="98"/>
      <c r="M12" s="206"/>
      <c r="N12" s="206"/>
      <c r="O12" s="262"/>
      <c r="Q12" s="11">
        <f>Q11-1000</f>
        <v>13000</v>
      </c>
      <c r="R12" s="300">
        <v>0.11560905455819737</v>
      </c>
      <c r="S12" s="300">
        <v>0.11059652025398559</v>
      </c>
      <c r="T12" s="300">
        <v>0.10553442315915396</v>
      </c>
      <c r="U12" s="300">
        <v>0.10042198236704825</v>
      </c>
      <c r="V12" s="300">
        <v>9.5258380128922626E-2</v>
      </c>
      <c r="W12" s="300">
        <v>9.0042760603453731E-2</v>
      </c>
    </row>
    <row r="13" spans="1:23">
      <c r="B13" s="95" t="s">
        <v>88</v>
      </c>
      <c r="C13" s="133">
        <f ca="1">C14-C12</f>
        <v>3601.052179847733</v>
      </c>
      <c r="D13" s="124">
        <f>1-D12</f>
        <v>0.30000000000000004</v>
      </c>
      <c r="E13" s="192"/>
      <c r="G13" s="94" t="s">
        <v>107</v>
      </c>
      <c r="H13" s="184">
        <v>0.03</v>
      </c>
      <c r="I13" s="127">
        <f t="shared" si="0"/>
        <v>2305.4943125687114</v>
      </c>
      <c r="L13" s="104"/>
      <c r="N13" s="155"/>
      <c r="Q13" s="11">
        <f t="shared" ref="Q13:Q17" si="1">Q12-1000</f>
        <v>12000</v>
      </c>
      <c r="R13" s="300">
        <v>0.1752413009014917</v>
      </c>
      <c r="S13" s="300">
        <v>0.17062571184521369</v>
      </c>
      <c r="T13" s="300">
        <v>0.16597162027486712</v>
      </c>
      <c r="U13" s="300">
        <v>0.1612786560051267</v>
      </c>
      <c r="V13" s="300">
        <v>0.15654643195036799</v>
      </c>
      <c r="W13" s="300">
        <v>0.15177454422181325</v>
      </c>
    </row>
    <row r="14" spans="1:23" ht="15">
      <c r="B14" s="152" t="s">
        <v>89</v>
      </c>
      <c r="C14" s="136">
        <f ca="1">C9</f>
        <v>12003.507266159111</v>
      </c>
      <c r="D14" s="125">
        <f>SUM(D12:D13)</f>
        <v>1</v>
      </c>
      <c r="E14" s="118"/>
      <c r="G14" s="94" t="s">
        <v>108</v>
      </c>
      <c r="H14" s="184">
        <v>0.03</v>
      </c>
      <c r="I14" s="127">
        <f t="shared" si="0"/>
        <v>2374.6591419457727</v>
      </c>
      <c r="N14" s="193"/>
      <c r="Q14" s="11">
        <f t="shared" si="1"/>
        <v>11000</v>
      </c>
      <c r="R14" s="300">
        <v>0.23908334279227739</v>
      </c>
      <c r="S14" s="300">
        <v>0.2347832477986489</v>
      </c>
      <c r="T14" s="300">
        <v>0.23045225910635825</v>
      </c>
      <c r="U14" s="300">
        <v>0.22609023984162846</v>
      </c>
      <c r="V14" s="300">
        <v>0.22169704525531486</v>
      </c>
      <c r="W14" s="300">
        <v>0.21727252342521797</v>
      </c>
    </row>
    <row r="15" spans="1:23">
      <c r="E15" s="119"/>
      <c r="G15" s="98" t="s">
        <v>114</v>
      </c>
      <c r="H15" s="185">
        <v>0.03</v>
      </c>
      <c r="I15" s="128">
        <f t="shared" si="0"/>
        <v>2445.8989162041457</v>
      </c>
      <c r="Q15" s="11">
        <f t="shared" si="1"/>
        <v>10000</v>
      </c>
      <c r="R15" s="300">
        <v>0.30924792569638937</v>
      </c>
      <c r="S15" s="300">
        <v>0.30519939565570331</v>
      </c>
      <c r="T15" s="300">
        <v>0.30112531245047114</v>
      </c>
      <c r="U15" s="300">
        <v>0.29702567589945073</v>
      </c>
      <c r="V15" s="300">
        <v>0.29290048206635588</v>
      </c>
      <c r="W15" s="300">
        <v>0.28874972432804102</v>
      </c>
    </row>
    <row r="16" spans="1:23" ht="15">
      <c r="E16" s="120"/>
      <c r="M16" s="130"/>
      <c r="Q16" s="11">
        <f t="shared" si="1"/>
        <v>9000</v>
      </c>
      <c r="R16" s="300">
        <v>0.38858204591807088</v>
      </c>
      <c r="S16" s="300">
        <v>0.38473173322742982</v>
      </c>
      <c r="T16" s="300">
        <v>0.38085963316177396</v>
      </c>
      <c r="U16" s="300">
        <v>0.37696582709183502</v>
      </c>
      <c r="V16" s="300">
        <v>0.37305039437565046</v>
      </c>
      <c r="W16" s="300">
        <v>0.3691134137918537</v>
      </c>
    </row>
    <row r="17" spans="2:23" ht="15">
      <c r="B17" s="291" t="s">
        <v>74</v>
      </c>
      <c r="C17" s="292"/>
      <c r="K17" s="103"/>
      <c r="Q17" s="11">
        <f t="shared" si="1"/>
        <v>8000</v>
      </c>
      <c r="R17" s="300">
        <v>0.48123388173156756</v>
      </c>
      <c r="S17" s="300">
        <v>0.47753415481327877</v>
      </c>
      <c r="T17" s="300">
        <v>0.47381524664385322</v>
      </c>
      <c r="U17" s="300">
        <v>0.47007728739054855</v>
      </c>
      <c r="V17" s="300">
        <v>0.4663204057433008</v>
      </c>
      <c r="W17" s="300">
        <v>0.46254473079101799</v>
      </c>
    </row>
    <row r="18" spans="2:23" s="104" customFormat="1" ht="15">
      <c r="B18" s="94" t="s">
        <v>113</v>
      </c>
      <c r="C18" s="127">
        <f ca="1">C12</f>
        <v>8402.4550863113782</v>
      </c>
      <c r="J18" s="106"/>
      <c r="K18" s="102"/>
      <c r="Q18" s="11"/>
    </row>
    <row r="19" spans="2:23" s="104" customFormat="1" ht="15">
      <c r="B19" s="94" t="s">
        <v>81</v>
      </c>
      <c r="C19" s="263">
        <v>0.08</v>
      </c>
      <c r="J19" s="106"/>
      <c r="K19" s="102"/>
    </row>
    <row r="20" spans="2:23" s="104" customFormat="1" ht="15">
      <c r="B20" s="94" t="s">
        <v>83</v>
      </c>
      <c r="C20" s="264">
        <v>10</v>
      </c>
      <c r="J20" s="106"/>
      <c r="K20" s="102"/>
      <c r="Q20" s="300">
        <f ca="1">O6</f>
        <v>0.17999961365125849</v>
      </c>
      <c r="R20" s="301">
        <v>0.6</v>
      </c>
      <c r="S20" s="301">
        <f>R20+0.05</f>
        <v>0.65</v>
      </c>
      <c r="T20" s="301">
        <f t="shared" ref="T20:W20" si="2">S20+0.05</f>
        <v>0.70000000000000007</v>
      </c>
      <c r="U20" s="301">
        <f t="shared" si="2"/>
        <v>0.75000000000000011</v>
      </c>
      <c r="V20" s="301">
        <f t="shared" si="2"/>
        <v>0.80000000000000016</v>
      </c>
      <c r="W20" s="301">
        <f t="shared" si="2"/>
        <v>0.8500000000000002</v>
      </c>
    </row>
    <row r="21" spans="2:23" s="104" customFormat="1" ht="15">
      <c r="B21" s="97"/>
      <c r="C21" s="129"/>
      <c r="J21" s="106"/>
      <c r="K21" s="102"/>
      <c r="Q21" s="300">
        <v>14000</v>
      </c>
      <c r="R21" s="300">
        <f t="dataTable" ref="R21:W27" dt2D="1" dtr="1" r1="D12" r2="C7" ca="1"/>
        <v>5.0942537635328078E-2</v>
      </c>
      <c r="S21" s="300">
        <v>4.6945193327277313E-2</v>
      </c>
      <c r="T21" s="300">
        <v>4.170388792724955E-2</v>
      </c>
      <c r="U21" s="300">
        <v>3.4533791153394278E-2</v>
      </c>
      <c r="V21" s="300">
        <v>2.4138376940061823E-2</v>
      </c>
      <c r="W21" s="302">
        <v>7.7399989373931888E-3</v>
      </c>
    </row>
    <row r="22" spans="2:23" s="104" customFormat="1" ht="15">
      <c r="B22" s="187" t="s">
        <v>85</v>
      </c>
      <c r="C22" s="99">
        <f ca="1">-PMT(C19,C20,C18)</f>
        <v>1252.2135853131253</v>
      </c>
      <c r="J22" s="106"/>
      <c r="K22" s="102"/>
      <c r="Q22" s="300">
        <v>13000</v>
      </c>
      <c r="R22" s="300">
        <v>9.5903905287751945E-2</v>
      </c>
      <c r="S22" s="300">
        <v>9.7872449325689947E-2</v>
      </c>
      <c r="T22" s="300">
        <v>0.10042198236704825</v>
      </c>
      <c r="U22" s="300">
        <v>0.10385543165860511</v>
      </c>
      <c r="V22" s="300">
        <v>0.10873205703914635</v>
      </c>
      <c r="W22" s="302">
        <v>0.11621434230843342</v>
      </c>
    </row>
    <row r="23" spans="2:23" s="104" customFormat="1" ht="15">
      <c r="J23" s="106"/>
      <c r="K23" s="102"/>
      <c r="Q23" s="300">
        <v>12000</v>
      </c>
      <c r="R23" s="300">
        <v>0.14358624663702502</v>
      </c>
      <c r="S23" s="300">
        <v>0.15132980308278499</v>
      </c>
      <c r="T23" s="300">
        <v>0.16127865600512692</v>
      </c>
      <c r="U23" s="300">
        <v>0.17455410997672471</v>
      </c>
      <c r="V23" s="300">
        <v>0.19321721667877489</v>
      </c>
      <c r="W23" s="302">
        <v>0.22155926762375122</v>
      </c>
    </row>
    <row r="24" spans="2:23" s="104" customFormat="1" ht="15">
      <c r="F24" s="102"/>
      <c r="J24" s="106"/>
      <c r="K24" s="102"/>
      <c r="Q24" s="300">
        <v>11000</v>
      </c>
      <c r="R24" s="300">
        <v>0.19514013630325122</v>
      </c>
      <c r="S24" s="300">
        <v>0.208721796507499</v>
      </c>
      <c r="T24" s="300">
        <v>0.22609023984162846</v>
      </c>
      <c r="U24" s="300">
        <v>0.24916278812657322</v>
      </c>
      <c r="V24" s="300">
        <v>0.28148866772202052</v>
      </c>
      <c r="W24" s="302">
        <v>0.33057971230773764</v>
      </c>
    </row>
    <row r="25" spans="2:23">
      <c r="F25" s="107"/>
      <c r="H25" s="107"/>
      <c r="I25" s="107"/>
      <c r="J25" s="107"/>
      <c r="K25" s="107"/>
      <c r="Q25" s="300">
        <v>10000</v>
      </c>
      <c r="R25" s="300">
        <v>0.25206319141766653</v>
      </c>
      <c r="S25" s="300">
        <v>0.27181438232989796</v>
      </c>
      <c r="T25" s="300">
        <v>0.29702567589945117</v>
      </c>
      <c r="U25" s="300">
        <v>0.3304922920078246</v>
      </c>
      <c r="V25" s="300">
        <v>0.37745906545667607</v>
      </c>
      <c r="W25" s="300">
        <v>0.44928681126809167</v>
      </c>
    </row>
    <row r="26" spans="2:23" ht="15">
      <c r="B26" s="269" t="s">
        <v>90</v>
      </c>
      <c r="C26" s="270"/>
      <c r="D26" s="270"/>
      <c r="E26" s="270"/>
      <c r="F26" s="270"/>
      <c r="G26" s="270"/>
      <c r="H26" s="270"/>
      <c r="I26" s="270"/>
      <c r="J26" s="270"/>
      <c r="K26" s="270"/>
      <c r="L26" s="270"/>
      <c r="M26" s="270"/>
      <c r="N26" s="270"/>
      <c r="O26" s="271"/>
      <c r="P26" s="167"/>
      <c r="Q26" s="300">
        <v>9000</v>
      </c>
      <c r="R26" s="300">
        <v>0.31642887797176811</v>
      </c>
      <c r="S26" s="300">
        <v>0.34301199996709153</v>
      </c>
      <c r="T26" s="300">
        <v>0.37696582709183524</v>
      </c>
      <c r="U26" s="300">
        <v>0.42214867411194779</v>
      </c>
      <c r="V26" s="300">
        <v>0.48592464449987927</v>
      </c>
      <c r="W26" s="300">
        <v>0.58466120501738605</v>
      </c>
    </row>
    <row r="27" spans="2:23" ht="15">
      <c r="B27" s="94"/>
      <c r="F27" s="150">
        <v>1</v>
      </c>
      <c r="G27" s="150">
        <f>+F27+1</f>
        <v>2</v>
      </c>
      <c r="H27" s="150">
        <f t="shared" ref="H27:J27" si="3">+G27+1</f>
        <v>3</v>
      </c>
      <c r="I27" s="150">
        <f t="shared" si="3"/>
        <v>4</v>
      </c>
      <c r="J27" s="150">
        <f t="shared" si="3"/>
        <v>5</v>
      </c>
      <c r="K27" s="150">
        <f t="shared" ref="K27:O27" si="4">+J27+1</f>
        <v>6</v>
      </c>
      <c r="L27" s="150">
        <f t="shared" si="4"/>
        <v>7</v>
      </c>
      <c r="M27" s="150">
        <f t="shared" si="4"/>
        <v>8</v>
      </c>
      <c r="N27" s="150">
        <f t="shared" si="4"/>
        <v>9</v>
      </c>
      <c r="O27" s="168">
        <f t="shared" si="4"/>
        <v>10</v>
      </c>
      <c r="P27" s="150"/>
      <c r="Q27" s="300">
        <v>8000</v>
      </c>
      <c r="R27" s="300">
        <v>0.39128202020634828</v>
      </c>
      <c r="S27" s="300">
        <v>0.42582428646329995</v>
      </c>
      <c r="T27" s="300">
        <v>0.47007728739054833</v>
      </c>
      <c r="U27" s="300">
        <v>0.52928125256177139</v>
      </c>
      <c r="V27" s="300">
        <v>0.61362472883109853</v>
      </c>
      <c r="W27" s="300">
        <v>0.7463326698909476</v>
      </c>
    </row>
    <row r="28" spans="2:23" ht="15">
      <c r="B28" s="94"/>
      <c r="F28" s="108"/>
      <c r="G28" s="108"/>
      <c r="H28" s="108"/>
      <c r="I28" s="108"/>
      <c r="J28" s="108"/>
      <c r="K28" s="108"/>
      <c r="L28" s="108"/>
      <c r="M28" s="108"/>
      <c r="N28" s="108"/>
      <c r="O28" s="169"/>
      <c r="P28" s="108"/>
      <c r="R28" s="182"/>
      <c r="S28" s="182"/>
      <c r="T28" s="182"/>
      <c r="U28" s="182"/>
      <c r="V28" s="182"/>
    </row>
    <row r="29" spans="2:23">
      <c r="B29" s="194" t="s">
        <v>91</v>
      </c>
      <c r="F29" s="286">
        <f>'5. Projected Income Statement'!Q34</f>
        <v>1819.9784999999999</v>
      </c>
      <c r="G29" s="109">
        <f>VLOOKUP("Year "&amp;G27,$G$6:$I$15,3,FALSE)</f>
        <v>1874.577855</v>
      </c>
      <c r="H29" s="109">
        <f t="shared" ref="H29:O29" si="5">VLOOKUP("Year "&amp;H27,$G$6:$I$15,3,FALSE)</f>
        <v>1930.81519065</v>
      </c>
      <c r="I29" s="109">
        <f t="shared" si="5"/>
        <v>1988.7396463695</v>
      </c>
      <c r="J29" s="109">
        <f t="shared" si="5"/>
        <v>2048.4018357605851</v>
      </c>
      <c r="K29" s="109">
        <f t="shared" si="5"/>
        <v>2109.8538908334026</v>
      </c>
      <c r="L29" s="109">
        <f t="shared" si="5"/>
        <v>2173.1495075584048</v>
      </c>
      <c r="M29" s="109">
        <f t="shared" si="5"/>
        <v>2238.3439927851568</v>
      </c>
      <c r="N29" s="109">
        <f t="shared" si="5"/>
        <v>2305.4943125687114</v>
      </c>
      <c r="O29" s="170">
        <f t="shared" si="5"/>
        <v>2374.6591419457727</v>
      </c>
      <c r="P29" s="109"/>
      <c r="R29" s="182"/>
      <c r="S29" s="182"/>
      <c r="T29" s="182"/>
      <c r="U29" s="182"/>
      <c r="V29" s="182"/>
    </row>
    <row r="30" spans="2:23" ht="7.5" customHeight="1">
      <c r="B30" s="195"/>
      <c r="F30" s="160"/>
      <c r="G30" s="160"/>
      <c r="H30" s="160"/>
      <c r="I30" s="160"/>
      <c r="J30" s="160"/>
      <c r="K30" s="160"/>
      <c r="L30" s="160"/>
      <c r="M30" s="160"/>
      <c r="N30" s="160"/>
      <c r="O30" s="172"/>
      <c r="P30" s="110"/>
    </row>
    <row r="31" spans="2:23">
      <c r="B31" s="195" t="s">
        <v>92</v>
      </c>
      <c r="F31" s="160">
        <f ca="1">$C$22</f>
        <v>1252.2135853131253</v>
      </c>
      <c r="G31" s="160">
        <f t="shared" ref="G31:O31" ca="1" si="6">$C$22</f>
        <v>1252.2135853131253</v>
      </c>
      <c r="H31" s="160">
        <f t="shared" ca="1" si="6"/>
        <v>1252.2135853131253</v>
      </c>
      <c r="I31" s="160">
        <f t="shared" ca="1" si="6"/>
        <v>1252.2135853131253</v>
      </c>
      <c r="J31" s="160">
        <f t="shared" ca="1" si="6"/>
        <v>1252.2135853131253</v>
      </c>
      <c r="K31" s="160">
        <f t="shared" ca="1" si="6"/>
        <v>1252.2135853131253</v>
      </c>
      <c r="L31" s="160">
        <f t="shared" ca="1" si="6"/>
        <v>1252.2135853131253</v>
      </c>
      <c r="M31" s="160">
        <f t="shared" ca="1" si="6"/>
        <v>1252.2135853131253</v>
      </c>
      <c r="N31" s="160">
        <f t="shared" ca="1" si="6"/>
        <v>1252.2135853131253</v>
      </c>
      <c r="O31" s="172">
        <f t="shared" ca="1" si="6"/>
        <v>1252.2135853131253</v>
      </c>
      <c r="P31" s="156"/>
    </row>
    <row r="32" spans="2:23" ht="8.25" customHeight="1">
      <c r="B32" s="195"/>
      <c r="F32" s="160"/>
      <c r="G32" s="160"/>
      <c r="H32" s="160"/>
      <c r="I32" s="160"/>
      <c r="J32" s="160"/>
      <c r="K32" s="160"/>
      <c r="L32" s="160"/>
      <c r="M32" s="160"/>
      <c r="N32" s="160"/>
      <c r="O32" s="172"/>
      <c r="P32" s="156"/>
    </row>
    <row r="33" spans="2:16" ht="15" customHeight="1">
      <c r="B33" s="195"/>
      <c r="D33" s="196" t="s">
        <v>93</v>
      </c>
      <c r="F33" s="197">
        <f ca="1">F29/F31</f>
        <v>1.453409004139578</v>
      </c>
      <c r="G33" s="197">
        <f t="shared" ref="G33:O33" ca="1" si="7">G29/G31</f>
        <v>1.4970112742637653</v>
      </c>
      <c r="H33" s="197">
        <f t="shared" ca="1" si="7"/>
        <v>1.5419216124916784</v>
      </c>
      <c r="I33" s="197">
        <f t="shared" ca="1" si="7"/>
        <v>1.5881792608664287</v>
      </c>
      <c r="J33" s="197">
        <f t="shared" ca="1" si="7"/>
        <v>1.6358246386924216</v>
      </c>
      <c r="K33" s="197">
        <f t="shared" ca="1" si="7"/>
        <v>1.6848993778531942</v>
      </c>
      <c r="L33" s="197">
        <f t="shared" ca="1" si="7"/>
        <v>1.7354463591887901</v>
      </c>
      <c r="M33" s="197">
        <f t="shared" ca="1" si="7"/>
        <v>1.7875097499644537</v>
      </c>
      <c r="N33" s="197">
        <f t="shared" ca="1" si="7"/>
        <v>1.8411350424633872</v>
      </c>
      <c r="O33" s="198">
        <f t="shared" ca="1" si="7"/>
        <v>1.8963690937372888</v>
      </c>
      <c r="P33" s="157"/>
    </row>
    <row r="34" spans="2:16" ht="7.5" customHeight="1">
      <c r="B34" s="195"/>
      <c r="F34" s="171"/>
      <c r="G34" s="171"/>
      <c r="H34" s="171"/>
      <c r="I34" s="171"/>
      <c r="J34" s="171"/>
      <c r="K34" s="171"/>
      <c r="L34" s="171"/>
      <c r="M34" s="171"/>
      <c r="N34" s="171"/>
      <c r="O34" s="199"/>
      <c r="P34" s="158"/>
    </row>
    <row r="35" spans="2:16">
      <c r="B35" s="194" t="s">
        <v>37</v>
      </c>
      <c r="F35" s="160">
        <f ca="1">F29-F31</f>
        <v>567.76491468687459</v>
      </c>
      <c r="G35" s="160">
        <f t="shared" ref="G35:O35" ca="1" si="8">G29-G31</f>
        <v>622.36426968687465</v>
      </c>
      <c r="H35" s="160">
        <f t="shared" ca="1" si="8"/>
        <v>678.60160533687463</v>
      </c>
      <c r="I35" s="160">
        <f t="shared" ca="1" si="8"/>
        <v>736.5260610563746</v>
      </c>
      <c r="J35" s="160">
        <f t="shared" ca="1" si="8"/>
        <v>796.18825044745972</v>
      </c>
      <c r="K35" s="160">
        <f t="shared" ca="1" si="8"/>
        <v>857.64030552027725</v>
      </c>
      <c r="L35" s="160">
        <f t="shared" ca="1" si="8"/>
        <v>920.93592224527947</v>
      </c>
      <c r="M35" s="160">
        <f t="shared" ca="1" si="8"/>
        <v>986.13040747203149</v>
      </c>
      <c r="N35" s="160">
        <f t="shared" ca="1" si="8"/>
        <v>1053.280727255586</v>
      </c>
      <c r="O35" s="172">
        <f t="shared" ca="1" si="8"/>
        <v>1122.4455566326474</v>
      </c>
      <c r="P35" s="156"/>
    </row>
    <row r="36" spans="2:16" hidden="1">
      <c r="B36" s="194"/>
      <c r="D36" s="105" t="s">
        <v>131</v>
      </c>
      <c r="F36" s="160">
        <f ca="1">IF(F35&lt;0,F35,0)</f>
        <v>0</v>
      </c>
      <c r="G36" s="160" cm="1">
        <f t="array" aca="1" ref="G36" ca="1">IF(G35&lt;0,G35,IF(SUM($F$36:G36)&gt;0,$F$36:G36,0))</f>
        <v>0</v>
      </c>
      <c r="H36" s="160" cm="1">
        <f t="array" aca="1" ref="H36" ca="1">IF(H35&lt;0,H35,IF(SUM($F$36:H36)&gt;0,$F$36:H36,0))</f>
        <v>0</v>
      </c>
      <c r="I36" s="160" cm="1">
        <f t="array" aca="1" ref="I36" ca="1">IF(I35&lt;0,I35,IF(SUM($F$36:I36)&gt;0,$F$36:I36,0))</f>
        <v>0</v>
      </c>
      <c r="J36" s="160" cm="1">
        <f t="array" aca="1" ref="J36" ca="1">IF(J35&lt;0,J35,IF(SUM($F$36:J36)&gt;0,$F$36:J36,0))</f>
        <v>0</v>
      </c>
      <c r="K36" s="160" cm="1">
        <f t="array" aca="1" ref="K36" ca="1">IF(K35&lt;0,K35,IF(SUM($F$36:K36)&gt;0,$F$36:K36,0))</f>
        <v>0</v>
      </c>
      <c r="L36" s="160" cm="1">
        <f t="array" aca="1" ref="L36" ca="1">IF(L35&lt;0,L35,IF(SUM($F$36:L36)&gt;0,$F$36:L36,0))</f>
        <v>0</v>
      </c>
      <c r="M36" s="160" cm="1">
        <f t="array" aca="1" ref="M36" ca="1">IF(M35&lt;0,M35,IF(SUM($F$36:M36)&gt;0,$F$36:M36,0))</f>
        <v>0</v>
      </c>
      <c r="N36" s="160" cm="1">
        <f t="array" aca="1" ref="N36" ca="1">IF(N35&lt;0,N35,IF(SUM($F$36:N36)&gt;0,$F$36:N36,0))</f>
        <v>0</v>
      </c>
      <c r="O36" s="172" cm="1">
        <f t="array" aca="1" ref="O36" ca="1">IF(O35&lt;0,O35,IF(SUM($F$36:O36)&gt;0,$F$36:O36,0))</f>
        <v>0</v>
      </c>
      <c r="P36" s="156"/>
    </row>
    <row r="37" spans="2:16">
      <c r="B37" s="194"/>
      <c r="D37" s="196" t="s">
        <v>130</v>
      </c>
      <c r="F37" s="260">
        <f ca="1">F35/($C$13-F36)</f>
        <v>0.15766639480100009</v>
      </c>
      <c r="G37" s="260">
        <f t="shared" ref="G37:O37" ca="1" si="9">G35/($C$13-G36)</f>
        <v>0.17282845085382537</v>
      </c>
      <c r="H37" s="260">
        <f t="shared" ca="1" si="9"/>
        <v>0.18844536858823541</v>
      </c>
      <c r="I37" s="259">
        <f t="shared" ca="1" si="9"/>
        <v>0.20453079385467773</v>
      </c>
      <c r="J37" s="259">
        <f t="shared" ca="1" si="9"/>
        <v>0.22109878187911339</v>
      </c>
      <c r="K37" s="259">
        <f t="shared" ca="1" si="9"/>
        <v>0.23816380954428207</v>
      </c>
      <c r="L37" s="259">
        <f t="shared" ca="1" si="9"/>
        <v>0.25574078803940586</v>
      </c>
      <c r="M37" s="259">
        <f t="shared" ca="1" si="9"/>
        <v>0.27384507588938328</v>
      </c>
      <c r="N37" s="259">
        <f t="shared" ca="1" si="9"/>
        <v>0.29249249237486002</v>
      </c>
      <c r="O37" s="272">
        <f t="shared" ca="1" si="9"/>
        <v>0.31169933135490108</v>
      </c>
      <c r="P37" s="156"/>
    </row>
    <row r="38" spans="2:16" ht="12" customHeight="1">
      <c r="B38" s="195"/>
      <c r="F38" s="171"/>
      <c r="G38" s="171"/>
      <c r="H38" s="171"/>
      <c r="I38" s="171"/>
      <c r="J38" s="171"/>
      <c r="K38" s="171"/>
      <c r="L38" s="171"/>
      <c r="M38" s="171"/>
      <c r="N38" s="171"/>
      <c r="O38" s="199"/>
      <c r="P38" s="158"/>
    </row>
    <row r="39" spans="2:16">
      <c r="B39" s="94"/>
      <c r="D39" s="196" t="s">
        <v>115</v>
      </c>
      <c r="F39" s="200">
        <v>4</v>
      </c>
      <c r="G39" s="200">
        <f>F39-0.1</f>
        <v>3.9</v>
      </c>
      <c r="H39" s="200">
        <f t="shared" ref="H39:O39" si="10">G39-0.1</f>
        <v>3.8</v>
      </c>
      <c r="I39" s="200">
        <f t="shared" si="10"/>
        <v>3.6999999999999997</v>
      </c>
      <c r="J39" s="200">
        <f t="shared" si="10"/>
        <v>3.5999999999999996</v>
      </c>
      <c r="K39" s="200">
        <f t="shared" si="10"/>
        <v>3.4999999999999996</v>
      </c>
      <c r="L39" s="200">
        <f t="shared" si="10"/>
        <v>3.3999999999999995</v>
      </c>
      <c r="M39" s="200">
        <f t="shared" si="10"/>
        <v>3.2999999999999994</v>
      </c>
      <c r="N39" s="200">
        <f t="shared" si="10"/>
        <v>3.1999999999999993</v>
      </c>
      <c r="O39" s="201">
        <f t="shared" si="10"/>
        <v>3.0999999999999992</v>
      </c>
      <c r="P39" s="159"/>
    </row>
    <row r="40" spans="2:16">
      <c r="B40" s="94"/>
      <c r="D40" s="196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P40" s="159"/>
    </row>
    <row r="41" spans="2:16">
      <c r="B41" s="194" t="s">
        <v>94</v>
      </c>
      <c r="F41" s="160">
        <f>F39*G29</f>
        <v>7498.31142</v>
      </c>
      <c r="G41" s="160">
        <f t="shared" ref="G41:N41" si="11">G39*H29</f>
        <v>7530.1792435349998</v>
      </c>
      <c r="H41" s="160">
        <f t="shared" si="11"/>
        <v>7557.2106562040999</v>
      </c>
      <c r="I41" s="160">
        <f t="shared" si="11"/>
        <v>7579.0867923141641</v>
      </c>
      <c r="J41" s="160">
        <f t="shared" si="11"/>
        <v>7595.474007000249</v>
      </c>
      <c r="K41" s="160">
        <f t="shared" si="11"/>
        <v>7606.0232764544162</v>
      </c>
      <c r="L41" s="160">
        <f t="shared" si="11"/>
        <v>7610.3695754695318</v>
      </c>
      <c r="M41" s="160">
        <f t="shared" si="11"/>
        <v>7608.1312314767465</v>
      </c>
      <c r="N41" s="160">
        <f t="shared" si="11"/>
        <v>7598.9092542264707</v>
      </c>
      <c r="O41" s="172">
        <f>O39*I15</f>
        <v>7582.28664023285</v>
      </c>
      <c r="P41" s="160"/>
    </row>
    <row r="42" spans="2:16">
      <c r="B42" s="195" t="s">
        <v>95</v>
      </c>
      <c r="D42" s="204">
        <v>0.02</v>
      </c>
      <c r="F42" s="289">
        <f>-$D$42*F41</f>
        <v>-149.96622840000001</v>
      </c>
      <c r="G42" s="289">
        <f t="shared" ref="G42:O42" si="12">-$D$42*G41</f>
        <v>-150.60358487069999</v>
      </c>
      <c r="H42" s="289">
        <f t="shared" si="12"/>
        <v>-151.144213124082</v>
      </c>
      <c r="I42" s="289">
        <f t="shared" si="12"/>
        <v>-151.58173584628329</v>
      </c>
      <c r="J42" s="289">
        <f t="shared" si="12"/>
        <v>-151.90948014000497</v>
      </c>
      <c r="K42" s="289">
        <f t="shared" si="12"/>
        <v>-152.12046552908834</v>
      </c>
      <c r="L42" s="289">
        <f t="shared" si="12"/>
        <v>-152.20739150939065</v>
      </c>
      <c r="M42" s="289">
        <f t="shared" si="12"/>
        <v>-152.16262462953495</v>
      </c>
      <c r="N42" s="289">
        <f t="shared" si="12"/>
        <v>-151.97818508452943</v>
      </c>
      <c r="O42" s="290">
        <f t="shared" si="12"/>
        <v>-151.645732804657</v>
      </c>
      <c r="P42" s="160"/>
    </row>
    <row r="43" spans="2:16">
      <c r="B43" s="194" t="s">
        <v>96</v>
      </c>
      <c r="D43" s="205"/>
      <c r="F43" s="160">
        <f>F41+F42</f>
        <v>7348.3451916000004</v>
      </c>
      <c r="G43" s="160">
        <f t="shared" ref="G43:O43" si="13">G41+G42</f>
        <v>7379.5756586643001</v>
      </c>
      <c r="H43" s="160">
        <f t="shared" si="13"/>
        <v>7406.066443080018</v>
      </c>
      <c r="I43" s="160">
        <f t="shared" si="13"/>
        <v>7427.5050564678804</v>
      </c>
      <c r="J43" s="160">
        <f t="shared" si="13"/>
        <v>7443.5645268602439</v>
      </c>
      <c r="K43" s="160">
        <f t="shared" si="13"/>
        <v>7453.9028109253277</v>
      </c>
      <c r="L43" s="160">
        <f t="shared" si="13"/>
        <v>7458.1621839601412</v>
      </c>
      <c r="M43" s="160">
        <f t="shared" si="13"/>
        <v>7455.968606847212</v>
      </c>
      <c r="N43" s="160">
        <f t="shared" si="13"/>
        <v>7446.9310691419414</v>
      </c>
      <c r="O43" s="172">
        <f t="shared" si="13"/>
        <v>7430.6409074281928</v>
      </c>
      <c r="P43" s="161"/>
    </row>
    <row r="44" spans="2:16">
      <c r="B44" s="195" t="s">
        <v>97</v>
      </c>
      <c r="F44" s="160">
        <f ca="1">INDEX('4. Acquisition Financing'!$J$8:$J$128,MATCH(F27*12,'4. Acquisition Financing'!$F$8:$F$128,0),1)</f>
        <v>7830.6474266563728</v>
      </c>
      <c r="G44" s="160">
        <f ca="1">INDEX('4. Acquisition Financing'!$J$8:$J$128,MATCH(G27*12,'4. Acquisition Financing'!$F$8:$F$128,0),1)</f>
        <v>7211.3800132612423</v>
      </c>
      <c r="H44" s="160">
        <f ca="1">INDEX('4. Acquisition Financing'!$J$8:$J$128,MATCH(H27*12,'4. Acquisition Financing'!$F$8:$F$128,0),1)</f>
        <v>6540.713709972355</v>
      </c>
      <c r="I44" s="160">
        <f ca="1">INDEX('4. Acquisition Financing'!$J$8:$J$128,MATCH(I27*12,'4. Acquisition Financing'!$F$8:$F$128,0),1)</f>
        <v>5814.3824342780736</v>
      </c>
      <c r="J44" s="160">
        <f ca="1">INDEX('4. Acquisition Financing'!$J$8:$J$128,MATCH(J27*12,'4. Acquisition Financing'!$F$8:$F$128,0),1)</f>
        <v>5027.7660209222977</v>
      </c>
      <c r="K44" s="160">
        <f ca="1">INDEX('4. Acquisition Financing'!$J$8:$J$128,MATCH(K27*12,'4. Acquisition Financing'!$F$8:$F$128,0),1)</f>
        <v>4175.8608332112981</v>
      </c>
      <c r="L44" s="160">
        <f ca="1">INDEX('4. Acquisition Financing'!$J$8:$J$128,MATCH(L27*12,'4. Acquisition Financing'!$F$8:$F$128,0),1)</f>
        <v>3253.2479350735266</v>
      </c>
      <c r="M44" s="160">
        <f ca="1">INDEX('4. Acquisition Financing'!$J$8:$J$128,MATCH(M27*12,'4. Acquisition Financing'!$F$8:$F$128,0),1)</f>
        <v>2254.0586214160708</v>
      </c>
      <c r="N44" s="160">
        <f ca="1">INDEX('4. Acquisition Financing'!$J$8:$J$128,MATCH(N27*12,'4. Acquisition Financing'!$F$8:$F$128,0),1)</f>
        <v>1171.9370875177119</v>
      </c>
      <c r="O44" s="172">
        <f ca="1">INDEX('4. Acquisition Financing'!$J$8:$J$128,MATCH(O27*12,'4. Acquisition Financing'!$F$8:$F$128,0),1)</f>
        <v>1.7905676941154525E-12</v>
      </c>
      <c r="P44" s="161"/>
    </row>
    <row r="45" spans="2:16" ht="7.5" customHeight="1">
      <c r="B45" s="195"/>
      <c r="F45" s="174"/>
      <c r="G45" s="174"/>
      <c r="H45" s="161"/>
      <c r="I45" s="161"/>
      <c r="J45" s="161"/>
      <c r="K45" s="161"/>
      <c r="L45" s="161"/>
      <c r="M45" s="161"/>
      <c r="N45" s="161"/>
      <c r="O45" s="173"/>
      <c r="P45" s="161"/>
    </row>
    <row r="46" spans="2:16" ht="15" thickBot="1">
      <c r="B46" s="228" t="s">
        <v>98</v>
      </c>
      <c r="C46" s="229"/>
      <c r="D46" s="229"/>
      <c r="E46" s="229"/>
      <c r="F46" s="230">
        <f ca="1">F43-F44</f>
        <v>-482.30223505637241</v>
      </c>
      <c r="G46" s="230">
        <f t="shared" ref="G46:O46" ca="1" si="14">G43-G44</f>
        <v>168.19564540305782</v>
      </c>
      <c r="H46" s="230">
        <f t="shared" ca="1" si="14"/>
        <v>865.35273310766297</v>
      </c>
      <c r="I46" s="230">
        <f t="shared" ca="1" si="14"/>
        <v>1613.1226221898069</v>
      </c>
      <c r="J46" s="230">
        <f t="shared" ca="1" si="14"/>
        <v>2415.7985059379462</v>
      </c>
      <c r="K46" s="230">
        <f t="shared" ca="1" si="14"/>
        <v>3278.0419777140296</v>
      </c>
      <c r="L46" s="230">
        <f t="shared" ca="1" si="14"/>
        <v>4204.9142488866146</v>
      </c>
      <c r="M46" s="230">
        <f t="shared" ca="1" si="14"/>
        <v>5201.9099854311407</v>
      </c>
      <c r="N46" s="230">
        <f t="shared" ca="1" si="14"/>
        <v>6274.9939816242295</v>
      </c>
      <c r="O46" s="231">
        <f t="shared" ca="1" si="14"/>
        <v>7430.640907428191</v>
      </c>
      <c r="P46" s="156"/>
    </row>
    <row r="47" spans="2:16" ht="15" thickTop="1">
      <c r="B47" s="273"/>
      <c r="C47" s="206"/>
      <c r="D47" s="206"/>
      <c r="E47" s="206"/>
      <c r="F47" s="274"/>
      <c r="G47" s="274"/>
      <c r="H47" s="274"/>
      <c r="I47" s="274"/>
      <c r="J47" s="274"/>
      <c r="K47" s="274"/>
      <c r="L47" s="274"/>
      <c r="M47" s="274"/>
      <c r="N47" s="274"/>
      <c r="O47" s="275"/>
      <c r="P47" s="156"/>
    </row>
    <row r="48" spans="2:16" s="101" customFormat="1"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62"/>
    </row>
    <row r="49" spans="2:16" s="92" customFormat="1" ht="15">
      <c r="B49" s="232"/>
      <c r="C49" s="233"/>
      <c r="D49" s="234"/>
      <c r="E49" s="234"/>
      <c r="F49" s="235" t="s">
        <v>99</v>
      </c>
      <c r="G49" s="235" t="s">
        <v>100</v>
      </c>
      <c r="H49" s="235" t="s">
        <v>101</v>
      </c>
      <c r="I49" s="235" t="s">
        <v>102</v>
      </c>
      <c r="J49" s="235" t="s">
        <v>103</v>
      </c>
      <c r="K49" s="235" t="s">
        <v>104</v>
      </c>
      <c r="L49" s="235" t="s">
        <v>105</v>
      </c>
      <c r="M49" s="235" t="s">
        <v>106</v>
      </c>
      <c r="N49" s="235" t="s">
        <v>107</v>
      </c>
      <c r="O49" s="236" t="s">
        <v>108</v>
      </c>
      <c r="P49" s="163"/>
    </row>
    <row r="50" spans="2:16" s="92" customFormat="1" ht="15">
      <c r="B50" s="237" t="s">
        <v>122</v>
      </c>
      <c r="C50" s="238"/>
      <c r="D50" s="238"/>
      <c r="E50" s="238"/>
      <c r="F50" s="239"/>
      <c r="G50" s="239"/>
      <c r="H50" s="239"/>
      <c r="I50" s="239"/>
      <c r="J50" s="239"/>
      <c r="K50" s="239"/>
      <c r="L50" s="239"/>
      <c r="M50" s="239"/>
      <c r="N50" s="239"/>
      <c r="O50" s="240"/>
      <c r="P50" s="164"/>
    </row>
    <row r="51" spans="2:16">
      <c r="B51" s="94"/>
      <c r="O51" s="191"/>
    </row>
    <row r="52" spans="2:16" s="92" customFormat="1" ht="15">
      <c r="B52" s="151" t="s">
        <v>109</v>
      </c>
      <c r="D52" s="176"/>
      <c r="F52" s="207"/>
      <c r="H52" s="105"/>
      <c r="I52" s="105"/>
      <c r="J52" s="105"/>
      <c r="K52" s="105"/>
      <c r="L52" s="105"/>
      <c r="M52" s="105"/>
      <c r="N52" s="105"/>
      <c r="O52" s="191"/>
      <c r="P52" s="11"/>
    </row>
    <row r="53" spans="2:16" s="92" customFormat="1" ht="15">
      <c r="B53" s="151"/>
      <c r="C53" s="177" t="s">
        <v>110</v>
      </c>
      <c r="D53" s="117" t="s">
        <v>111</v>
      </c>
      <c r="E53" s="126"/>
      <c r="F53" s="126"/>
      <c r="G53" s="126"/>
      <c r="H53" s="208"/>
      <c r="I53" s="209"/>
      <c r="J53" s="210"/>
      <c r="K53" s="210"/>
      <c r="L53" s="210"/>
      <c r="M53" s="210"/>
      <c r="N53" s="210"/>
      <c r="O53" s="211"/>
      <c r="P53" s="165"/>
    </row>
    <row r="54" spans="2:16" s="92" customFormat="1" ht="15">
      <c r="B54" s="97" t="s">
        <v>99</v>
      </c>
      <c r="C54" s="241">
        <f ca="1">IRR(E54:O54)</f>
        <v>-0.23619626428287377</v>
      </c>
      <c r="D54" s="242">
        <f ca="1">SUMIFS(E54:O54,E54:O54,"&gt;0")/-SUMIFS(E54:O54,E54:O54,"&lt;0")</f>
        <v>0.76380373571712645</v>
      </c>
      <c r="E54" s="178">
        <f ca="1">-$C$9</f>
        <v>-12003.507266159111</v>
      </c>
      <c r="F54" s="212">
        <f>F$29+F$43</f>
        <v>9168.3236916000005</v>
      </c>
      <c r="G54" s="126"/>
      <c r="H54" s="208"/>
      <c r="I54" s="208"/>
      <c r="J54" s="208"/>
      <c r="K54" s="208"/>
      <c r="L54" s="208"/>
      <c r="M54" s="208"/>
      <c r="N54" s="208"/>
      <c r="O54" s="213"/>
      <c r="P54" s="166"/>
    </row>
    <row r="55" spans="2:16" s="92" customFormat="1" ht="15">
      <c r="B55" s="97" t="s">
        <v>100</v>
      </c>
      <c r="C55" s="241">
        <f t="shared" ref="C55:C63" ca="1" si="15">IRR(E55:O55)</f>
        <v>-4.2883116094863172E-2</v>
      </c>
      <c r="D55" s="242">
        <f t="shared" ref="D55:D63" ca="1" si="16">SUMIFS(E55:O55,E55:O55,"&gt;0")/-SUMIFS(E55:O55,E55:O55,"&lt;0")</f>
        <v>0.92257469155577942</v>
      </c>
      <c r="E55" s="178">
        <f t="shared" ref="E55:E63" ca="1" si="17">-$C$9</f>
        <v>-12003.507266159111</v>
      </c>
      <c r="F55" s="215">
        <f>F$29</f>
        <v>1819.9784999999999</v>
      </c>
      <c r="G55" s="212">
        <f>G$29+G$43</f>
        <v>9254.1535136642997</v>
      </c>
      <c r="H55" s="208"/>
      <c r="I55" s="208"/>
      <c r="J55" s="208"/>
      <c r="K55" s="208"/>
      <c r="L55" s="208"/>
      <c r="M55" s="208"/>
      <c r="N55" s="208"/>
      <c r="O55" s="213"/>
      <c r="P55" s="166"/>
    </row>
    <row r="56" spans="2:16" s="92" customFormat="1" ht="15">
      <c r="B56" s="97" t="s">
        <v>101</v>
      </c>
      <c r="C56" s="241">
        <f t="shared" ca="1" si="15"/>
        <v>3.2508710508332594E-2</v>
      </c>
      <c r="D56" s="242">
        <f t="shared" ca="1" si="16"/>
        <v>1.0856358645667588</v>
      </c>
      <c r="E56" s="178">
        <f t="shared" ca="1" si="17"/>
        <v>-12003.507266159111</v>
      </c>
      <c r="F56" s="215">
        <f t="shared" ref="F56:G56" si="18">F$29</f>
        <v>1819.9784999999999</v>
      </c>
      <c r="G56" s="215">
        <f t="shared" si="18"/>
        <v>1874.577855</v>
      </c>
      <c r="H56" s="212">
        <f>H$29+H$43</f>
        <v>9336.8816337300177</v>
      </c>
      <c r="I56" s="212"/>
      <c r="J56" s="212"/>
      <c r="K56" s="212"/>
      <c r="L56" s="212"/>
      <c r="M56" s="212"/>
      <c r="N56" s="212"/>
      <c r="O56" s="214"/>
      <c r="P56" s="112"/>
    </row>
    <row r="57" spans="2:16" s="92" customFormat="1" ht="15">
      <c r="B57" s="97" t="s">
        <v>102</v>
      </c>
      <c r="C57" s="241">
        <f t="shared" ca="1" si="15"/>
        <v>7.2644461991598241E-2</v>
      </c>
      <c r="D57" s="242">
        <f t="shared" ca="1" si="16"/>
        <v>1.2531017739201491</v>
      </c>
      <c r="E57" s="178">
        <f t="shared" ca="1" si="17"/>
        <v>-12003.507266159111</v>
      </c>
      <c r="F57" s="215">
        <f t="shared" ref="F57:H57" si="19">F$29</f>
        <v>1819.9784999999999</v>
      </c>
      <c r="G57" s="215">
        <f t="shared" si="19"/>
        <v>1874.577855</v>
      </c>
      <c r="H57" s="215">
        <f t="shared" si="19"/>
        <v>1930.81519065</v>
      </c>
      <c r="I57" s="212">
        <f>I$29+I$43</f>
        <v>9416.2447028373808</v>
      </c>
      <c r="J57" s="215"/>
      <c r="K57" s="215"/>
      <c r="L57" s="215"/>
      <c r="M57" s="215"/>
      <c r="N57" s="215"/>
      <c r="O57" s="216"/>
      <c r="P57" s="113"/>
    </row>
    <row r="58" spans="2:16" s="92" customFormat="1" ht="15">
      <c r="B58" s="97" t="s">
        <v>103</v>
      </c>
      <c r="C58" s="241">
        <f t="shared" ca="1" si="15"/>
        <v>9.7589671533504729E-2</v>
      </c>
      <c r="D58" s="242">
        <f t="shared" ca="1" si="16"/>
        <v>1.4250899487407853</v>
      </c>
      <c r="E58" s="178">
        <f t="shared" ca="1" si="17"/>
        <v>-12003.507266159111</v>
      </c>
      <c r="F58" s="215">
        <f t="shared" ref="F58:I58" si="20">F$29</f>
        <v>1819.9784999999999</v>
      </c>
      <c r="G58" s="215">
        <f t="shared" si="20"/>
        <v>1874.577855</v>
      </c>
      <c r="H58" s="215">
        <f t="shared" si="20"/>
        <v>1930.81519065</v>
      </c>
      <c r="I58" s="215">
        <f t="shared" si="20"/>
        <v>1988.7396463695</v>
      </c>
      <c r="J58" s="212">
        <f>J$29+J$43</f>
        <v>9491.9663626208294</v>
      </c>
      <c r="K58" s="215"/>
      <c r="L58" s="215"/>
      <c r="M58" s="215"/>
      <c r="N58" s="215"/>
      <c r="O58" s="216"/>
      <c r="P58" s="113"/>
    </row>
    <row r="59" spans="2:16" s="92" customFormat="1" ht="15">
      <c r="B59" s="97" t="s">
        <v>104</v>
      </c>
      <c r="C59" s="241">
        <f t="shared" ca="1" si="15"/>
        <v>0.11459578463094178</v>
      </c>
      <c r="D59" s="242">
        <f t="shared" ca="1" si="16"/>
        <v>1.6017210056382833</v>
      </c>
      <c r="E59" s="178">
        <f t="shared" ca="1" si="17"/>
        <v>-12003.507266159111</v>
      </c>
      <c r="F59" s="215">
        <f t="shared" ref="F59:J59" si="21">F$29</f>
        <v>1819.9784999999999</v>
      </c>
      <c r="G59" s="215">
        <f t="shared" si="21"/>
        <v>1874.577855</v>
      </c>
      <c r="H59" s="215">
        <f t="shared" si="21"/>
        <v>1930.81519065</v>
      </c>
      <c r="I59" s="215">
        <f t="shared" si="21"/>
        <v>1988.7396463695</v>
      </c>
      <c r="J59" s="215">
        <f t="shared" si="21"/>
        <v>2048.4018357605851</v>
      </c>
      <c r="K59" s="212">
        <f>K$29+K$43</f>
        <v>9563.7567017587298</v>
      </c>
      <c r="L59" s="215"/>
      <c r="M59" s="215"/>
      <c r="N59" s="215"/>
      <c r="O59" s="216"/>
      <c r="P59" s="114"/>
    </row>
    <row r="60" spans="2:16" s="92" customFormat="1" ht="15">
      <c r="B60" s="97" t="s">
        <v>105</v>
      </c>
      <c r="C60" s="241">
        <f t="shared" ca="1" si="15"/>
        <v>0.12691868352137092</v>
      </c>
      <c r="D60" s="242">
        <f t="shared" ca="1" si="16"/>
        <v>1.7831187281799175</v>
      </c>
      <c r="E60" s="178">
        <f t="shared" ca="1" si="17"/>
        <v>-12003.507266159111</v>
      </c>
      <c r="F60" s="215">
        <f t="shared" ref="F60:K60" si="22">F$29</f>
        <v>1819.9784999999999</v>
      </c>
      <c r="G60" s="215">
        <f t="shared" si="22"/>
        <v>1874.577855</v>
      </c>
      <c r="H60" s="215">
        <f t="shared" si="22"/>
        <v>1930.81519065</v>
      </c>
      <c r="I60" s="215">
        <f t="shared" si="22"/>
        <v>1988.7396463695</v>
      </c>
      <c r="J60" s="215">
        <f t="shared" si="22"/>
        <v>2048.4018357605851</v>
      </c>
      <c r="K60" s="215">
        <f t="shared" si="22"/>
        <v>2109.8538908334026</v>
      </c>
      <c r="L60" s="212">
        <f>L$29+L$43</f>
        <v>9631.3116915185456</v>
      </c>
      <c r="M60" s="215"/>
      <c r="N60" s="215"/>
      <c r="O60" s="216"/>
      <c r="P60" s="114"/>
    </row>
    <row r="61" spans="2:16" s="92" customFormat="1" ht="15">
      <c r="B61" s="97" t="s">
        <v>106</v>
      </c>
      <c r="C61" s="241">
        <f t="shared" ca="1" si="15"/>
        <v>0.13623836562763536</v>
      </c>
      <c r="D61" s="242">
        <f t="shared" ca="1" si="16"/>
        <v>1.9694101483531277</v>
      </c>
      <c r="E61" s="178">
        <f t="shared" ca="1" si="17"/>
        <v>-12003.507266159111</v>
      </c>
      <c r="F61" s="215">
        <f t="shared" ref="F61:L61" si="23">F$29</f>
        <v>1819.9784999999999</v>
      </c>
      <c r="G61" s="215">
        <f t="shared" si="23"/>
        <v>1874.577855</v>
      </c>
      <c r="H61" s="215">
        <f t="shared" si="23"/>
        <v>1930.81519065</v>
      </c>
      <c r="I61" s="215">
        <f t="shared" si="23"/>
        <v>1988.7396463695</v>
      </c>
      <c r="J61" s="215">
        <f t="shared" si="23"/>
        <v>2048.4018357605851</v>
      </c>
      <c r="K61" s="215">
        <f t="shared" si="23"/>
        <v>2109.8538908334026</v>
      </c>
      <c r="L61" s="215">
        <f t="shared" si="23"/>
        <v>2173.1495075584048</v>
      </c>
      <c r="M61" s="212">
        <f>M$29+M$43</f>
        <v>9694.3125996323688</v>
      </c>
      <c r="N61" s="215"/>
      <c r="O61" s="216"/>
      <c r="P61" s="111"/>
    </row>
    <row r="62" spans="2:16" s="92" customFormat="1" ht="15">
      <c r="B62" s="97" t="s">
        <v>107</v>
      </c>
      <c r="C62" s="241">
        <f t="shared" ca="1" si="15"/>
        <v>0.14351068903416597</v>
      </c>
      <c r="D62" s="242">
        <f t="shared" ca="1" si="16"/>
        <v>2.1607256300655209</v>
      </c>
      <c r="E62" s="178">
        <f t="shared" ca="1" si="17"/>
        <v>-12003.507266159111</v>
      </c>
      <c r="F62" s="215">
        <f t="shared" ref="F62:M62" si="24">F$29</f>
        <v>1819.9784999999999</v>
      </c>
      <c r="G62" s="215">
        <f t="shared" si="24"/>
        <v>1874.577855</v>
      </c>
      <c r="H62" s="215">
        <f t="shared" si="24"/>
        <v>1930.81519065</v>
      </c>
      <c r="I62" s="215">
        <f t="shared" si="24"/>
        <v>1988.7396463695</v>
      </c>
      <c r="J62" s="215">
        <f t="shared" si="24"/>
        <v>2048.4018357605851</v>
      </c>
      <c r="K62" s="215">
        <f t="shared" si="24"/>
        <v>2109.8538908334026</v>
      </c>
      <c r="L62" s="215">
        <f t="shared" si="24"/>
        <v>2173.1495075584048</v>
      </c>
      <c r="M62" s="215">
        <f t="shared" si="24"/>
        <v>2238.3439927851568</v>
      </c>
      <c r="N62" s="212">
        <f>N$29+N$43</f>
        <v>9752.4253817106528</v>
      </c>
      <c r="O62" s="216"/>
      <c r="P62" s="111"/>
    </row>
    <row r="63" spans="2:16" s="92" customFormat="1" ht="15">
      <c r="B63" s="97" t="s">
        <v>108</v>
      </c>
      <c r="C63" s="241">
        <f t="shared" ca="1" si="15"/>
        <v>0.14932068291975842</v>
      </c>
      <c r="D63" s="242">
        <f t="shared" ca="1" si="16"/>
        <v>2.3571989547312922</v>
      </c>
      <c r="E63" s="178">
        <f t="shared" ca="1" si="17"/>
        <v>-12003.507266159111</v>
      </c>
      <c r="F63" s="215">
        <f t="shared" ref="F63:M63" si="25">F$29</f>
        <v>1819.9784999999999</v>
      </c>
      <c r="G63" s="215">
        <f t="shared" si="25"/>
        <v>1874.577855</v>
      </c>
      <c r="H63" s="215">
        <f t="shared" si="25"/>
        <v>1930.81519065</v>
      </c>
      <c r="I63" s="215">
        <f t="shared" si="25"/>
        <v>1988.7396463695</v>
      </c>
      <c r="J63" s="215">
        <f t="shared" si="25"/>
        <v>2048.4018357605851</v>
      </c>
      <c r="K63" s="215">
        <f t="shared" si="25"/>
        <v>2109.8538908334026</v>
      </c>
      <c r="L63" s="215">
        <f t="shared" si="25"/>
        <v>2173.1495075584048</v>
      </c>
      <c r="M63" s="215">
        <f t="shared" si="25"/>
        <v>2238.3439927851568</v>
      </c>
      <c r="N63" s="215">
        <f>N$29</f>
        <v>2305.4943125687114</v>
      </c>
      <c r="O63" s="216">
        <f>O$29+O$43</f>
        <v>9805.3000493739655</v>
      </c>
      <c r="P63" s="111"/>
    </row>
    <row r="64" spans="2:16" s="92" customFormat="1">
      <c r="B64" s="95"/>
      <c r="E64" s="178"/>
      <c r="O64" s="123"/>
      <c r="P64" s="114"/>
    </row>
    <row r="65" spans="2:16" s="92" customFormat="1" hidden="1">
      <c r="B65" s="95" t="s">
        <v>132</v>
      </c>
      <c r="E65" s="178">
        <f ca="1">E63</f>
        <v>-12003.507266159111</v>
      </c>
      <c r="F65" s="261">
        <f ca="1">E65+F63</f>
        <v>-10183.528766159112</v>
      </c>
      <c r="G65" s="261">
        <f ca="1">F65+G63</f>
        <v>-8308.9509111591124</v>
      </c>
      <c r="H65" s="261">
        <f t="shared" ref="H65:O65" ca="1" si="26">G65+H63</f>
        <v>-6378.1357205091126</v>
      </c>
      <c r="I65" s="261">
        <f t="shared" ca="1" si="26"/>
        <v>-4389.3960741396131</v>
      </c>
      <c r="J65" s="261">
        <f t="shared" ca="1" si="26"/>
        <v>-2340.994238379028</v>
      </c>
      <c r="K65" s="261">
        <f t="shared" ca="1" si="26"/>
        <v>-231.14034754562545</v>
      </c>
      <c r="L65" s="261">
        <f t="shared" ca="1" si="26"/>
        <v>1942.0091600127794</v>
      </c>
      <c r="M65" s="261">
        <f t="shared" ca="1" si="26"/>
        <v>4180.3531527979358</v>
      </c>
      <c r="N65" s="261">
        <f t="shared" ca="1" si="26"/>
        <v>6485.8474653666472</v>
      </c>
      <c r="O65" s="276">
        <f t="shared" ca="1" si="26"/>
        <v>16291.147514740613</v>
      </c>
      <c r="P65" s="114"/>
    </row>
    <row r="66" spans="2:16" s="92" customFormat="1" hidden="1">
      <c r="B66" s="95"/>
      <c r="E66" s="178"/>
      <c r="O66" s="123"/>
      <c r="P66" s="114"/>
    </row>
    <row r="67" spans="2:16" hidden="1">
      <c r="B67" s="94"/>
      <c r="O67" s="191"/>
    </row>
    <row r="68" spans="2:16" ht="15">
      <c r="B68" s="151" t="s">
        <v>112</v>
      </c>
      <c r="C68" s="115"/>
      <c r="D68" s="116"/>
      <c r="E68" s="92"/>
      <c r="F68" s="92"/>
      <c r="G68" s="92"/>
      <c r="H68" s="215"/>
      <c r="I68" s="215"/>
      <c r="J68" s="215"/>
      <c r="K68" s="215"/>
      <c r="L68" s="215"/>
      <c r="M68" s="215"/>
      <c r="N68" s="215"/>
      <c r="O68" s="216"/>
    </row>
    <row r="69" spans="2:16" ht="15">
      <c r="B69" s="151"/>
      <c r="C69" s="179"/>
      <c r="D69" s="179"/>
      <c r="E69" s="92"/>
      <c r="F69" s="92"/>
      <c r="G69" s="92"/>
      <c r="H69" s="209"/>
      <c r="I69" s="209"/>
      <c r="J69" s="209"/>
      <c r="K69" s="209"/>
      <c r="L69" s="209"/>
      <c r="M69" s="209"/>
      <c r="N69" s="209"/>
      <c r="O69" s="217"/>
    </row>
    <row r="70" spans="2:16" ht="15">
      <c r="B70" s="97" t="s">
        <v>99</v>
      </c>
      <c r="C70" s="241">
        <f t="shared" ref="C70:C79" ca="1" si="27">IRR(E70:O70)</f>
        <v>-0.97626730317634114</v>
      </c>
      <c r="D70" s="242">
        <f t="shared" ref="D70:D79" ca="1" si="28">SUMIFS(E70:O70,E70:O70,"&gt;0")/-SUMIFS(E70:O70,E70:O70,"&lt;0")</f>
        <v>2.3732696823658882E-2</v>
      </c>
      <c r="E70" s="287">
        <f ca="1">-$C$13</f>
        <v>-3601.052179847733</v>
      </c>
      <c r="F70" s="212">
        <f ca="1">F$35+F$46</f>
        <v>85.46267963050218</v>
      </c>
      <c r="G70" s="126"/>
      <c r="H70" s="208"/>
      <c r="I70" s="208"/>
      <c r="J70" s="209"/>
      <c r="K70" s="209"/>
      <c r="L70" s="209"/>
      <c r="M70" s="209"/>
      <c r="N70" s="209"/>
      <c r="O70" s="217"/>
    </row>
    <row r="71" spans="2:16" ht="15">
      <c r="B71" s="97" t="s">
        <v>100</v>
      </c>
      <c r="C71" s="241">
        <f t="shared" ca="1" si="27"/>
        <v>-0.44603473125948623</v>
      </c>
      <c r="D71" s="242">
        <f t="shared" ca="1" si="28"/>
        <v>0.37720220700446572</v>
      </c>
      <c r="E71" s="287">
        <f t="shared" ref="E71:E79" ca="1" si="29">-$C$13</f>
        <v>-3601.052179847733</v>
      </c>
      <c r="F71" s="212">
        <f ca="1">F$35</f>
        <v>567.76491468687459</v>
      </c>
      <c r="G71" s="212">
        <f ca="1">G$35+G$46</f>
        <v>790.55991508993247</v>
      </c>
      <c r="H71" s="208"/>
      <c r="I71" s="208"/>
      <c r="J71" s="209"/>
      <c r="K71" s="209"/>
      <c r="L71" s="209"/>
      <c r="M71" s="209"/>
      <c r="N71" s="209"/>
      <c r="O71" s="217"/>
    </row>
    <row r="72" spans="2:16" ht="15">
      <c r="B72" s="97" t="s">
        <v>101</v>
      </c>
      <c r="C72" s="241">
        <f t="shared" ca="1" si="27"/>
        <v>-0.10870889178106913</v>
      </c>
      <c r="D72" s="242">
        <f t="shared" ca="1" si="28"/>
        <v>0.75924573882011759</v>
      </c>
      <c r="E72" s="287">
        <f t="shared" ca="1" si="29"/>
        <v>-3601.052179847733</v>
      </c>
      <c r="F72" s="212">
        <f t="shared" ref="F72:G72" ca="1" si="30">F$35</f>
        <v>567.76491468687459</v>
      </c>
      <c r="G72" s="212">
        <f t="shared" ca="1" si="30"/>
        <v>622.36426968687465</v>
      </c>
      <c r="H72" s="212">
        <f ca="1">H$35+H$46</f>
        <v>1543.9543384445376</v>
      </c>
      <c r="I72" s="212"/>
      <c r="J72" s="215"/>
      <c r="K72" s="215"/>
      <c r="L72" s="215"/>
      <c r="M72" s="215"/>
      <c r="N72" s="215"/>
      <c r="O72" s="216"/>
    </row>
    <row r="73" spans="2:16" ht="15">
      <c r="B73" s="97" t="s">
        <v>102</v>
      </c>
      <c r="C73" s="241">
        <f t="shared" ca="1" si="27"/>
        <v>5.2215956430997856E-2</v>
      </c>
      <c r="D73" s="242">
        <f t="shared" ca="1" si="28"/>
        <v>1.1714296995094293</v>
      </c>
      <c r="E73" s="287">
        <f t="shared" ca="1" si="29"/>
        <v>-3601.052179847733</v>
      </c>
      <c r="F73" s="212">
        <f t="shared" ref="F73:H73" ca="1" si="31">F$35</f>
        <v>567.76491468687459</v>
      </c>
      <c r="G73" s="212">
        <f t="shared" ca="1" si="31"/>
        <v>622.36426968687465</v>
      </c>
      <c r="H73" s="212">
        <f t="shared" ca="1" si="31"/>
        <v>678.60160533687463</v>
      </c>
      <c r="I73" s="212">
        <f ca="1">I$35+I$46</f>
        <v>2349.6486832461815</v>
      </c>
      <c r="J73" s="215"/>
      <c r="K73" s="215"/>
      <c r="L73" s="215"/>
      <c r="M73" s="215"/>
      <c r="N73" s="215"/>
      <c r="O73" s="216"/>
    </row>
    <row r="74" spans="2:16" ht="15">
      <c r="B74" s="97" t="s">
        <v>103</v>
      </c>
      <c r="C74" s="241">
        <f t="shared" ca="1" si="27"/>
        <v>0.13461298919618092</v>
      </c>
      <c r="D74" s="242">
        <f t="shared" ca="1" si="28"/>
        <v>1.6154288570732072</v>
      </c>
      <c r="E74" s="287">
        <f t="shared" ca="1" si="29"/>
        <v>-3601.052179847733</v>
      </c>
      <c r="F74" s="212">
        <f t="shared" ref="F74:I74" ca="1" si="32">F$35</f>
        <v>567.76491468687459</v>
      </c>
      <c r="G74" s="212">
        <f t="shared" ca="1" si="32"/>
        <v>622.36426968687465</v>
      </c>
      <c r="H74" s="212">
        <f t="shared" ca="1" si="32"/>
        <v>678.60160533687463</v>
      </c>
      <c r="I74" s="212">
        <f t="shared" ca="1" si="32"/>
        <v>736.5260610563746</v>
      </c>
      <c r="J74" s="212">
        <f ca="1">J$35+J$46</f>
        <v>3211.9867563854059</v>
      </c>
      <c r="K74" s="212"/>
      <c r="L74" s="212"/>
      <c r="M74" s="212"/>
      <c r="N74" s="212"/>
      <c r="O74" s="216"/>
    </row>
    <row r="75" spans="2:16" ht="15">
      <c r="B75" s="97" t="s">
        <v>104</v>
      </c>
      <c r="C75" s="241">
        <f t="shared" ca="1" si="27"/>
        <v>0.17999961365125849</v>
      </c>
      <c r="D75" s="242">
        <f t="shared" ca="1" si="28"/>
        <v>2.0930347598482912</v>
      </c>
      <c r="E75" s="287">
        <f t="shared" ca="1" si="29"/>
        <v>-3601.052179847733</v>
      </c>
      <c r="F75" s="212">
        <f t="shared" ref="F75:J75" ca="1" si="33">F$35</f>
        <v>567.76491468687459</v>
      </c>
      <c r="G75" s="212">
        <f t="shared" ca="1" si="33"/>
        <v>622.36426968687465</v>
      </c>
      <c r="H75" s="212">
        <f t="shared" ca="1" si="33"/>
        <v>678.60160533687463</v>
      </c>
      <c r="I75" s="212">
        <f t="shared" ca="1" si="33"/>
        <v>736.5260610563746</v>
      </c>
      <c r="J75" s="212">
        <f t="shared" ca="1" si="33"/>
        <v>796.18825044745972</v>
      </c>
      <c r="K75" s="212">
        <f ca="1">K$35+K$46</f>
        <v>4135.6822832343069</v>
      </c>
      <c r="L75" s="212"/>
      <c r="M75" s="212"/>
      <c r="N75" s="212"/>
      <c r="O75" s="277"/>
    </row>
    <row r="76" spans="2:16" ht="15">
      <c r="B76" s="97" t="s">
        <v>105</v>
      </c>
      <c r="C76" s="241">
        <f t="shared" ca="1" si="27"/>
        <v>0.2063585318622998</v>
      </c>
      <c r="D76" s="242">
        <f t="shared" ca="1" si="28"/>
        <v>2.6061648399283848</v>
      </c>
      <c r="E76" s="287">
        <f t="shared" ca="1" si="29"/>
        <v>-3601.052179847733</v>
      </c>
      <c r="F76" s="212">
        <f t="shared" ref="F76:K76" ca="1" si="34">F$35</f>
        <v>567.76491468687459</v>
      </c>
      <c r="G76" s="212">
        <f t="shared" ca="1" si="34"/>
        <v>622.36426968687465</v>
      </c>
      <c r="H76" s="212">
        <f t="shared" ca="1" si="34"/>
        <v>678.60160533687463</v>
      </c>
      <c r="I76" s="212">
        <f t="shared" ca="1" si="34"/>
        <v>736.5260610563746</v>
      </c>
      <c r="J76" s="212">
        <f t="shared" ca="1" si="34"/>
        <v>796.18825044745972</v>
      </c>
      <c r="K76" s="212">
        <f t="shared" ca="1" si="34"/>
        <v>857.64030552027725</v>
      </c>
      <c r="L76" s="212">
        <f ca="1">L$35+L$46</f>
        <v>5125.8501711318941</v>
      </c>
      <c r="M76" s="212"/>
      <c r="N76" s="212"/>
      <c r="O76" s="218"/>
    </row>
    <row r="77" spans="2:16" ht="15">
      <c r="B77" s="97" t="s">
        <v>106</v>
      </c>
      <c r="C77" s="241">
        <f t="shared" ca="1" si="27"/>
        <v>0.22220432852019023</v>
      </c>
      <c r="D77" s="242">
        <f t="shared" ca="1" si="28"/>
        <v>3.1568722568090846</v>
      </c>
      <c r="E77" s="287">
        <f t="shared" ca="1" si="29"/>
        <v>-3601.052179847733</v>
      </c>
      <c r="F77" s="212">
        <f t="shared" ref="F77:L77" ca="1" si="35">F$35</f>
        <v>567.76491468687459</v>
      </c>
      <c r="G77" s="212">
        <f t="shared" ca="1" si="35"/>
        <v>622.36426968687465</v>
      </c>
      <c r="H77" s="212">
        <f t="shared" ca="1" si="35"/>
        <v>678.60160533687463</v>
      </c>
      <c r="I77" s="212">
        <f t="shared" ca="1" si="35"/>
        <v>736.5260610563746</v>
      </c>
      <c r="J77" s="212">
        <f t="shared" ca="1" si="35"/>
        <v>796.18825044745972</v>
      </c>
      <c r="K77" s="212">
        <f t="shared" ca="1" si="35"/>
        <v>857.64030552027725</v>
      </c>
      <c r="L77" s="212">
        <f t="shared" ca="1" si="35"/>
        <v>920.93592224527947</v>
      </c>
      <c r="M77" s="212">
        <f ca="1">M$35+M$46</f>
        <v>6188.0403929031727</v>
      </c>
      <c r="N77" s="212"/>
      <c r="O77" s="218"/>
    </row>
    <row r="78" spans="2:16" ht="15">
      <c r="B78" s="97" t="s">
        <v>107</v>
      </c>
      <c r="C78" s="241">
        <f t="shared" ca="1" si="27"/>
        <v>0.23190790000248529</v>
      </c>
      <c r="D78" s="242">
        <f t="shared" ca="1" si="28"/>
        <v>3.7473565423043826</v>
      </c>
      <c r="E78" s="287">
        <f t="shared" ca="1" si="29"/>
        <v>-3601.052179847733</v>
      </c>
      <c r="F78" s="212">
        <f t="shared" ref="F78:M78" ca="1" si="36">F$35</f>
        <v>567.76491468687459</v>
      </c>
      <c r="G78" s="212">
        <f t="shared" ca="1" si="36"/>
        <v>622.36426968687465</v>
      </c>
      <c r="H78" s="212">
        <f t="shared" ca="1" si="36"/>
        <v>678.60160533687463</v>
      </c>
      <c r="I78" s="212">
        <f t="shared" ca="1" si="36"/>
        <v>736.5260610563746</v>
      </c>
      <c r="J78" s="212">
        <f t="shared" ca="1" si="36"/>
        <v>796.18825044745972</v>
      </c>
      <c r="K78" s="212">
        <f t="shared" ca="1" si="36"/>
        <v>857.64030552027725</v>
      </c>
      <c r="L78" s="212">
        <f t="shared" ca="1" si="36"/>
        <v>920.93592224527947</v>
      </c>
      <c r="M78" s="212">
        <f t="shared" ca="1" si="36"/>
        <v>986.13040747203149</v>
      </c>
      <c r="N78" s="212">
        <f ca="1">N$35+N$46</f>
        <v>7328.2747088798151</v>
      </c>
      <c r="O78" s="218"/>
    </row>
    <row r="79" spans="2:16" ht="15">
      <c r="B79" s="97" t="s">
        <v>108</v>
      </c>
      <c r="C79" s="241">
        <f t="shared" ca="1" si="27"/>
        <v>0.23786644596477546</v>
      </c>
      <c r="D79" s="242">
        <f t="shared" ca="1" si="28"/>
        <v>4.3799751128392135</v>
      </c>
      <c r="E79" s="287">
        <f t="shared" ca="1" si="29"/>
        <v>-3601.052179847733</v>
      </c>
      <c r="F79" s="212">
        <f t="shared" ref="F79:M79" ca="1" si="37">F$35</f>
        <v>567.76491468687459</v>
      </c>
      <c r="G79" s="212">
        <f t="shared" ca="1" si="37"/>
        <v>622.36426968687465</v>
      </c>
      <c r="H79" s="212">
        <f t="shared" ca="1" si="37"/>
        <v>678.60160533687463</v>
      </c>
      <c r="I79" s="212">
        <f t="shared" ca="1" si="37"/>
        <v>736.5260610563746</v>
      </c>
      <c r="J79" s="212">
        <f t="shared" ca="1" si="37"/>
        <v>796.18825044745972</v>
      </c>
      <c r="K79" s="212">
        <f t="shared" ca="1" si="37"/>
        <v>857.64030552027725</v>
      </c>
      <c r="L79" s="212">
        <f t="shared" ca="1" si="37"/>
        <v>920.93592224527947</v>
      </c>
      <c r="M79" s="212">
        <f t="shared" ca="1" si="37"/>
        <v>986.13040747203149</v>
      </c>
      <c r="N79" s="212">
        <f ca="1">N$35</f>
        <v>1053.280727255586</v>
      </c>
      <c r="O79" s="214">
        <f ca="1">O$35+O$46</f>
        <v>8553.0864640608379</v>
      </c>
    </row>
    <row r="80" spans="2:16">
      <c r="B80" s="98"/>
      <c r="C80" s="206"/>
      <c r="D80" s="206"/>
      <c r="E80" s="206"/>
      <c r="F80" s="206"/>
      <c r="G80" s="206"/>
      <c r="H80" s="206"/>
      <c r="I80" s="206"/>
      <c r="J80" s="219"/>
      <c r="K80" s="219"/>
      <c r="L80" s="219"/>
      <c r="M80" s="219"/>
      <c r="N80" s="219"/>
      <c r="O80" s="220"/>
    </row>
    <row r="81" spans="2:15" hidden="1">
      <c r="B81" s="92" t="s">
        <v>133</v>
      </c>
      <c r="C81" s="92"/>
      <c r="D81" s="92"/>
      <c r="E81" s="261">
        <f ca="1">E79</f>
        <v>-3601.052179847733</v>
      </c>
      <c r="F81" s="261">
        <f ca="1">E81+F79</f>
        <v>-3033.2872651608586</v>
      </c>
      <c r="G81" s="261">
        <f ca="1">F81+G79</f>
        <v>-2410.922995473984</v>
      </c>
      <c r="H81" s="261">
        <f t="shared" ref="H81:O81" ca="1" si="38">G81+H79</f>
        <v>-1732.3213901371093</v>
      </c>
      <c r="I81" s="261">
        <f t="shared" ca="1" si="38"/>
        <v>-995.79532908073475</v>
      </c>
      <c r="J81" s="261">
        <f t="shared" ca="1" si="38"/>
        <v>-199.60707863327502</v>
      </c>
      <c r="K81" s="261">
        <f t="shared" ca="1" si="38"/>
        <v>658.03322688700223</v>
      </c>
      <c r="L81" s="261">
        <f t="shared" ca="1" si="38"/>
        <v>1578.9691491322817</v>
      </c>
      <c r="M81" s="261">
        <f t="shared" ca="1" si="38"/>
        <v>2565.099556604313</v>
      </c>
      <c r="N81" s="261">
        <f t="shared" ca="1" si="38"/>
        <v>3618.380283859899</v>
      </c>
      <c r="O81" s="261">
        <f t="shared" ca="1" si="38"/>
        <v>12171.466747920736</v>
      </c>
    </row>
  </sheetData>
  <mergeCells count="4">
    <mergeCell ref="B17:C17"/>
    <mergeCell ref="Q8:V8"/>
    <mergeCell ref="B4:D4"/>
    <mergeCell ref="G4:I4"/>
  </mergeCells>
  <conditionalFormatting sqref="F33:O33">
    <cfRule type="cellIs" dxfId="0" priority="1" operator="lessThan">
      <formula>1.25</formula>
    </cfRule>
  </conditionalFormatting>
  <pageMargins left="0.7" right="0.7" top="0.75" bottom="0.75" header="0.3" footer="0.3"/>
  <pageSetup scale="61" fitToHeight="2" orientation="landscape" r:id="rId1"/>
  <rowBreaks count="1" manualBreakCount="1">
    <brk id="48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7" tint="0.39997558519241921"/>
    <pageSetUpPr fitToPage="1"/>
  </sheetPr>
  <dimension ref="A1:G24"/>
  <sheetViews>
    <sheetView showGridLines="0" zoomScaleNormal="100" workbookViewId="0">
      <selection activeCell="C12" sqref="C12"/>
    </sheetView>
  </sheetViews>
  <sheetFormatPr defaultRowHeight="12"/>
  <cols>
    <col min="2" max="2" width="15.85546875" customWidth="1"/>
    <col min="3" max="3" width="14.28515625" bestFit="1" customWidth="1"/>
    <col min="4" max="4" width="10.7109375" bestFit="1" customWidth="1"/>
    <col min="5" max="5" width="12.85546875" bestFit="1" customWidth="1"/>
    <col min="6" max="6" width="10.28515625" bestFit="1" customWidth="1"/>
    <col min="7" max="7" width="11.7109375" bestFit="1" customWidth="1"/>
  </cols>
  <sheetData>
    <row r="1" spans="1:7" ht="15.75">
      <c r="A1" s="3" t="s">
        <v>39</v>
      </c>
    </row>
    <row r="2" spans="1:7" ht="15.75">
      <c r="A2" s="3" t="s">
        <v>128</v>
      </c>
    </row>
    <row r="6" spans="1:7" ht="15">
      <c r="B6" s="298" t="s">
        <v>125</v>
      </c>
      <c r="C6" s="299"/>
      <c r="D6" s="299"/>
      <c r="E6" s="299"/>
      <c r="F6" s="299"/>
      <c r="G6" s="299"/>
    </row>
    <row r="7" spans="1:7" ht="15">
      <c r="B7" s="183"/>
      <c r="C7" s="258">
        <f>'2. Summary'!R10</f>
        <v>7.2499999999999995E-2</v>
      </c>
      <c r="D7" s="258">
        <f>'2. Summary'!S10</f>
        <v>7.4999999999999997E-2</v>
      </c>
      <c r="E7" s="258">
        <f>'2. Summary'!T10</f>
        <v>7.7499999999999999E-2</v>
      </c>
      <c r="F7" s="258">
        <f>'2. Summary'!U10</f>
        <v>0.08</v>
      </c>
      <c r="G7" s="258">
        <f>'2. Summary'!V10</f>
        <v>8.2500000000000004E-2</v>
      </c>
    </row>
    <row r="8" spans="1:7" ht="14.25">
      <c r="B8" s="256">
        <f>'2. Summary'!Q11</f>
        <v>14000</v>
      </c>
      <c r="C8" s="248">
        <f>'2. Summary'!R11</f>
        <v>5.84625565825867E-2</v>
      </c>
      <c r="D8" s="249">
        <f>'2. Summary'!S11</f>
        <v>5.2943037582457553E-2</v>
      </c>
      <c r="E8" s="249">
        <f>'2. Summary'!T11</f>
        <v>4.735732761055611E-2</v>
      </c>
      <c r="F8" s="249">
        <f>'2. Summary'!U11</f>
        <v>4.170388792724955E-2</v>
      </c>
      <c r="G8" s="249">
        <f>'2. Summary'!V11</f>
        <v>3.5981097644515625E-2</v>
      </c>
    </row>
    <row r="9" spans="1:7" ht="14.25">
      <c r="B9" s="256">
        <f>'2. Summary'!Q12</f>
        <v>13000</v>
      </c>
      <c r="C9" s="250">
        <f>'2. Summary'!R12</f>
        <v>0.11560905455819737</v>
      </c>
      <c r="D9" s="251">
        <f>'2. Summary'!S12</f>
        <v>0.11059652025398559</v>
      </c>
      <c r="E9" s="251">
        <f>'2. Summary'!T12</f>
        <v>0.10553442315915396</v>
      </c>
      <c r="F9" s="251">
        <f>'2. Summary'!U12</f>
        <v>0.10042198236704825</v>
      </c>
      <c r="G9" s="251">
        <f>'2. Summary'!V12</f>
        <v>9.5258380128922626E-2</v>
      </c>
    </row>
    <row r="10" spans="1:7" ht="14.25">
      <c r="B10" s="256">
        <f>'2. Summary'!Q13</f>
        <v>12000</v>
      </c>
      <c r="C10" s="252">
        <f>'2. Summary'!R13</f>
        <v>0.1752413009014917</v>
      </c>
      <c r="D10" s="253">
        <f>'2. Summary'!S13</f>
        <v>0.17062571184521369</v>
      </c>
      <c r="E10" s="253">
        <f>'2. Summary'!T13</f>
        <v>0.16597162027486712</v>
      </c>
      <c r="F10" s="253">
        <f>'2. Summary'!U13</f>
        <v>0.1612786560051267</v>
      </c>
      <c r="G10" s="253">
        <f>'2. Summary'!V13</f>
        <v>0.15654643195036799</v>
      </c>
    </row>
    <row r="11" spans="1:7" ht="14.25">
      <c r="B11" s="257">
        <f>'2. Summary'!Q14</f>
        <v>11000</v>
      </c>
      <c r="C11" s="254">
        <f>'2. Summary'!R14</f>
        <v>0.23908334279227739</v>
      </c>
      <c r="D11" s="255">
        <f>'2. Summary'!S14</f>
        <v>0.2347832477986489</v>
      </c>
      <c r="E11" s="255">
        <f>'2. Summary'!T14</f>
        <v>0.23045225910635825</v>
      </c>
      <c r="F11" s="255">
        <f>'2. Summary'!U14</f>
        <v>0.22609023984162846</v>
      </c>
      <c r="G11" s="255">
        <f>'2. Summary'!V14</f>
        <v>0.22169704525531486</v>
      </c>
    </row>
    <row r="12" spans="1:7" ht="14.25">
      <c r="B12" s="256">
        <f>'2. Summary'!Q15</f>
        <v>10000</v>
      </c>
      <c r="C12" s="252">
        <f>'2. Summary'!R15</f>
        <v>0.30924792569638937</v>
      </c>
      <c r="D12" s="253">
        <f>'2. Summary'!S15</f>
        <v>0.30519939565570331</v>
      </c>
      <c r="E12" s="253">
        <f>'2. Summary'!T15</f>
        <v>0.30112531245047114</v>
      </c>
      <c r="F12" s="253">
        <f>'2. Summary'!U15</f>
        <v>0.29702567589945073</v>
      </c>
      <c r="G12" s="253">
        <f>'2. Summary'!V15</f>
        <v>0.29290048206635588</v>
      </c>
    </row>
    <row r="13" spans="1:7" ht="14.25">
      <c r="B13" s="256">
        <f>'2. Summary'!Q16</f>
        <v>9000</v>
      </c>
      <c r="C13" s="252">
        <f>'2. Summary'!R16</f>
        <v>0.38858204591807088</v>
      </c>
      <c r="D13" s="253">
        <f>'2. Summary'!S16</f>
        <v>0.38473173322742982</v>
      </c>
      <c r="E13" s="253">
        <f>'2. Summary'!T16</f>
        <v>0.38085963316177396</v>
      </c>
      <c r="F13" s="253">
        <f>'2. Summary'!U16</f>
        <v>0.37696582709183502</v>
      </c>
      <c r="G13" s="253">
        <f>'2. Summary'!V16</f>
        <v>0.37305039437565046</v>
      </c>
    </row>
    <row r="14" spans="1:7" ht="14.25">
      <c r="B14" s="256">
        <f>'2. Summary'!Q17</f>
        <v>8000</v>
      </c>
      <c r="C14" s="252">
        <f>'2. Summary'!R17</f>
        <v>0.48123388173156756</v>
      </c>
      <c r="D14" s="253">
        <f>'2. Summary'!S17</f>
        <v>0.47753415481327877</v>
      </c>
      <c r="E14" s="253">
        <f>'2. Summary'!T17</f>
        <v>0.47381524664385322</v>
      </c>
      <c r="F14" s="253">
        <f>'2. Summary'!U17</f>
        <v>0.47007728739054855</v>
      </c>
      <c r="G14" s="253">
        <f>'2. Summary'!V17</f>
        <v>0.4663204057433008</v>
      </c>
    </row>
    <row r="16" spans="1:7" ht="15">
      <c r="B16" s="298" t="s">
        <v>126</v>
      </c>
      <c r="C16" s="299"/>
      <c r="D16" s="299"/>
      <c r="E16" s="299"/>
      <c r="F16" s="299"/>
      <c r="G16" s="299"/>
    </row>
    <row r="17" spans="2:7" ht="15">
      <c r="B17" s="183"/>
      <c r="C17" s="258">
        <f>'2. Summary'!R20</f>
        <v>0.6</v>
      </c>
      <c r="D17" s="258">
        <f>'2. Summary'!S20</f>
        <v>0.65</v>
      </c>
      <c r="E17" s="258">
        <f>'2. Summary'!T20</f>
        <v>0.70000000000000007</v>
      </c>
      <c r="F17" s="258">
        <f>'2. Summary'!U20</f>
        <v>0.75000000000000011</v>
      </c>
      <c r="G17" s="258">
        <f>'2. Summary'!V20</f>
        <v>0.80000000000000016</v>
      </c>
    </row>
    <row r="18" spans="2:7" ht="14.25">
      <c r="B18" s="256">
        <f>'2. Summary'!Q21</f>
        <v>14000</v>
      </c>
      <c r="C18" s="248">
        <f>'2. Summary'!R21</f>
        <v>5.0942537635328078E-2</v>
      </c>
      <c r="D18" s="249">
        <f>'2. Summary'!S21</f>
        <v>4.6945193327277313E-2</v>
      </c>
      <c r="E18" s="249">
        <f>'2. Summary'!T21</f>
        <v>4.170388792724955E-2</v>
      </c>
      <c r="F18" s="249">
        <f>'2. Summary'!U21</f>
        <v>3.4533791153394278E-2</v>
      </c>
      <c r="G18" s="249">
        <f>'2. Summary'!V21</f>
        <v>2.4138376940061823E-2</v>
      </c>
    </row>
    <row r="19" spans="2:7" ht="14.25">
      <c r="B19" s="256">
        <f>'2. Summary'!Q22</f>
        <v>13000</v>
      </c>
      <c r="C19" s="250">
        <f>'2. Summary'!R22</f>
        <v>9.5903905287751945E-2</v>
      </c>
      <c r="D19" s="251">
        <f>'2. Summary'!S22</f>
        <v>9.7872449325689947E-2</v>
      </c>
      <c r="E19" s="251">
        <f>'2. Summary'!T22</f>
        <v>0.10042198236704825</v>
      </c>
      <c r="F19" s="251">
        <f>'2. Summary'!U22</f>
        <v>0.10385543165860511</v>
      </c>
      <c r="G19" s="251">
        <f>'2. Summary'!V22</f>
        <v>0.10873205703914635</v>
      </c>
    </row>
    <row r="20" spans="2:7" ht="14.25">
      <c r="B20" s="256">
        <f>'2. Summary'!Q23</f>
        <v>12000</v>
      </c>
      <c r="C20" s="252">
        <f>'2. Summary'!R23</f>
        <v>0.14358624663702502</v>
      </c>
      <c r="D20" s="253">
        <f>'2. Summary'!S23</f>
        <v>0.15132980308278499</v>
      </c>
      <c r="E20" s="253">
        <f>'2. Summary'!T23</f>
        <v>0.16127865600512692</v>
      </c>
      <c r="F20" s="253">
        <f>'2. Summary'!U23</f>
        <v>0.17455410997672471</v>
      </c>
      <c r="G20" s="253">
        <f>'2. Summary'!V23</f>
        <v>0.19321721667877489</v>
      </c>
    </row>
    <row r="21" spans="2:7" ht="14.25">
      <c r="B21" s="257">
        <f>'2. Summary'!Q24</f>
        <v>11000</v>
      </c>
      <c r="C21" s="254">
        <f>'2. Summary'!R24</f>
        <v>0.19514013630325122</v>
      </c>
      <c r="D21" s="255">
        <f>'2. Summary'!S24</f>
        <v>0.208721796507499</v>
      </c>
      <c r="E21" s="255">
        <f>'2. Summary'!T24</f>
        <v>0.22609023984162846</v>
      </c>
      <c r="F21" s="255">
        <f>'2. Summary'!U24</f>
        <v>0.24916278812657322</v>
      </c>
      <c r="G21" s="255">
        <f>'2. Summary'!V24</f>
        <v>0.28148866772202052</v>
      </c>
    </row>
    <row r="22" spans="2:7" ht="14.25">
      <c r="B22" s="256">
        <f>'2. Summary'!Q25</f>
        <v>10000</v>
      </c>
      <c r="C22" s="252">
        <f>'2. Summary'!R25</f>
        <v>0.25206319141766653</v>
      </c>
      <c r="D22" s="253">
        <f>'2. Summary'!S25</f>
        <v>0.27181438232989796</v>
      </c>
      <c r="E22" s="253">
        <f>'2. Summary'!T25</f>
        <v>0.29702567589945117</v>
      </c>
      <c r="F22" s="253">
        <f>'2. Summary'!U25</f>
        <v>0.3304922920078246</v>
      </c>
      <c r="G22" s="253">
        <f>'2. Summary'!V25</f>
        <v>0.37745906545667607</v>
      </c>
    </row>
    <row r="23" spans="2:7" ht="14.25">
      <c r="B23" s="256">
        <f>'2. Summary'!Q26</f>
        <v>9000</v>
      </c>
      <c r="C23" s="252">
        <f>'2. Summary'!R26</f>
        <v>0.31642887797176811</v>
      </c>
      <c r="D23" s="253">
        <f>'2. Summary'!S26</f>
        <v>0.34301199996709153</v>
      </c>
      <c r="E23" s="253">
        <f>'2. Summary'!T26</f>
        <v>0.37696582709183524</v>
      </c>
      <c r="F23" s="253">
        <f>'2. Summary'!U26</f>
        <v>0.42214867411194779</v>
      </c>
      <c r="G23" s="253">
        <f>'2. Summary'!V26</f>
        <v>0.48592464449987927</v>
      </c>
    </row>
    <row r="24" spans="2:7" ht="14.25">
      <c r="B24" s="256">
        <f>'2. Summary'!Q27</f>
        <v>8000</v>
      </c>
      <c r="C24" s="252">
        <f>'2. Summary'!R27</f>
        <v>0.39128202020634828</v>
      </c>
      <c r="D24" s="253">
        <f>'2. Summary'!S27</f>
        <v>0.42582428646329995</v>
      </c>
      <c r="E24" s="253">
        <f>'2. Summary'!T27</f>
        <v>0.47007728739054833</v>
      </c>
      <c r="F24" s="253">
        <f>'2. Summary'!U27</f>
        <v>0.52928125256177139</v>
      </c>
      <c r="G24" s="253">
        <f>'2. Summary'!V27</f>
        <v>0.61362472883109853</v>
      </c>
    </row>
  </sheetData>
  <mergeCells count="2">
    <mergeCell ref="B6:G6"/>
    <mergeCell ref="B16:G16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7" tint="0.39997558519241921"/>
    <pageSetUpPr fitToPage="1"/>
  </sheetPr>
  <dimension ref="A1:J128"/>
  <sheetViews>
    <sheetView showGridLines="0" zoomScaleNormal="100" workbookViewId="0">
      <pane ySplit="8" topLeftCell="A95" activePane="bottomLeft" state="frozen"/>
      <selection activeCell="Y22" sqref="Y22"/>
      <selection pane="bottomLeft" activeCell="J9" sqref="J9"/>
    </sheetView>
  </sheetViews>
  <sheetFormatPr defaultRowHeight="12"/>
  <cols>
    <col min="2" max="2" width="24.7109375" bestFit="1" customWidth="1"/>
    <col min="3" max="3" width="11.140625" bestFit="1" customWidth="1"/>
    <col min="6" max="6" width="9.28515625" bestFit="1" customWidth="1"/>
    <col min="7" max="7" width="15.7109375" bestFit="1" customWidth="1"/>
    <col min="8" max="8" width="14.7109375" bestFit="1" customWidth="1"/>
    <col min="9" max="9" width="12.140625" bestFit="1" customWidth="1"/>
    <col min="10" max="10" width="14.7109375" bestFit="1" customWidth="1"/>
  </cols>
  <sheetData>
    <row r="1" spans="1:10" ht="15.75">
      <c r="A1" s="3" t="s">
        <v>39</v>
      </c>
    </row>
    <row r="2" spans="1:10" ht="15.75">
      <c r="A2" s="3" t="s">
        <v>127</v>
      </c>
    </row>
    <row r="5" spans="1:10" ht="15">
      <c r="B5" s="144" t="s">
        <v>87</v>
      </c>
      <c r="C5" s="245">
        <f ca="1">'2. Summary'!C18</f>
        <v>8402.4550863113782</v>
      </c>
    </row>
    <row r="6" spans="1:10" ht="15">
      <c r="B6" s="59" t="s">
        <v>22</v>
      </c>
      <c r="C6" s="246">
        <f>'2. Summary'!C19</f>
        <v>0.08</v>
      </c>
    </row>
    <row r="7" spans="1:10" ht="15">
      <c r="B7" s="141" t="s">
        <v>120</v>
      </c>
      <c r="C7" s="247">
        <f>'2. Summary'!C20</f>
        <v>10</v>
      </c>
    </row>
    <row r="8" spans="1:10" ht="15">
      <c r="B8" s="11"/>
      <c r="C8" s="147"/>
      <c r="F8" s="243" t="s">
        <v>43</v>
      </c>
      <c r="G8" s="244" t="s">
        <v>40</v>
      </c>
      <c r="H8" s="243" t="s">
        <v>41</v>
      </c>
      <c r="I8" s="243" t="s">
        <v>119</v>
      </c>
      <c r="J8" s="243" t="s">
        <v>23</v>
      </c>
    </row>
    <row r="9" spans="1:10">
      <c r="C9" s="148"/>
      <c r="F9" s="149">
        <v>1</v>
      </c>
      <c r="G9" s="137">
        <f ca="1">-PPMT($C$6/12,$F9,$C$7*12,$C$5)</f>
        <v>45.928598988033386</v>
      </c>
      <c r="H9" s="137">
        <f ca="1">-IPMT($C$6/12,$F9,$C$7*12,$C$5)</f>
        <v>56.016367242075859</v>
      </c>
      <c r="I9" s="137">
        <f ca="1">-PMT($C$6/12,$C$7*12,$C$5)</f>
        <v>101.94496623010924</v>
      </c>
      <c r="J9" s="138">
        <f ca="1">C5-G9</f>
        <v>8356.5264873233446</v>
      </c>
    </row>
    <row r="10" spans="1:10">
      <c r="C10" s="145"/>
      <c r="F10" s="38">
        <f>F9+1</f>
        <v>2</v>
      </c>
      <c r="G10" s="139">
        <f t="shared" ref="G10:G73" ca="1" si="0">-PPMT($C$6/12,$F10,$C$7*12,$C$5)</f>
        <v>46.234789647953612</v>
      </c>
      <c r="H10" s="139">
        <f t="shared" ref="H10:H73" ca="1" si="1">-IPMT($C$6/12,$F10,$C$7*12,$C$5)</f>
        <v>55.710176582155633</v>
      </c>
      <c r="I10" s="139">
        <f t="shared" ref="I10:I73" ca="1" si="2">-PMT($C$6/12,$C$7*12,$C$5)</f>
        <v>101.94496623010924</v>
      </c>
      <c r="J10" s="140">
        <f ca="1">J9-G10</f>
        <v>8310.2916976753913</v>
      </c>
    </row>
    <row r="11" spans="1:10">
      <c r="C11" s="145"/>
      <c r="F11" s="38">
        <f t="shared" ref="F11:F50" si="3">F10+1</f>
        <v>3</v>
      </c>
      <c r="G11" s="139">
        <f t="shared" ca="1" si="0"/>
        <v>46.543021578939971</v>
      </c>
      <c r="H11" s="139">
        <f t="shared" ca="1" si="1"/>
        <v>55.401944651169281</v>
      </c>
      <c r="I11" s="139">
        <f t="shared" ca="1" si="2"/>
        <v>101.94496623010924</v>
      </c>
      <c r="J11" s="140">
        <f t="shared" ref="J11:J74" ca="1" si="4">J10-G11</f>
        <v>8263.7486760964512</v>
      </c>
    </row>
    <row r="12" spans="1:10">
      <c r="C12" s="146"/>
      <c r="F12" s="38">
        <f t="shared" si="3"/>
        <v>4</v>
      </c>
      <c r="G12" s="139">
        <f t="shared" ca="1" si="0"/>
        <v>46.853308389466235</v>
      </c>
      <c r="H12" s="139">
        <f t="shared" ca="1" si="1"/>
        <v>55.091657840643002</v>
      </c>
      <c r="I12" s="139">
        <f t="shared" ca="1" si="2"/>
        <v>101.94496623010924</v>
      </c>
      <c r="J12" s="140">
        <f t="shared" ca="1" si="4"/>
        <v>8216.8953677069858</v>
      </c>
    </row>
    <row r="13" spans="1:10">
      <c r="C13" s="146"/>
      <c r="F13" s="38">
        <f t="shared" si="3"/>
        <v>5</v>
      </c>
      <c r="G13" s="139">
        <f t="shared" ca="1" si="0"/>
        <v>47.165663778729346</v>
      </c>
      <c r="H13" s="139">
        <f t="shared" ca="1" si="1"/>
        <v>54.779302451379884</v>
      </c>
      <c r="I13" s="139">
        <f t="shared" ca="1" si="2"/>
        <v>101.94496623010924</v>
      </c>
      <c r="J13" s="140">
        <f t="shared" ca="1" si="4"/>
        <v>8169.7297039282566</v>
      </c>
    </row>
    <row r="14" spans="1:10">
      <c r="F14" s="38">
        <f t="shared" si="3"/>
        <v>6</v>
      </c>
      <c r="G14" s="139">
        <f t="shared" ca="1" si="0"/>
        <v>47.480101537254207</v>
      </c>
      <c r="H14" s="139">
        <f t="shared" ca="1" si="1"/>
        <v>54.464864692855031</v>
      </c>
      <c r="I14" s="139">
        <f t="shared" ca="1" si="2"/>
        <v>101.94496623010924</v>
      </c>
      <c r="J14" s="140">
        <f t="shared" ca="1" si="4"/>
        <v>8122.2496023910026</v>
      </c>
    </row>
    <row r="15" spans="1:10">
      <c r="F15" s="38">
        <f t="shared" si="3"/>
        <v>7</v>
      </c>
      <c r="G15" s="139">
        <f t="shared" ca="1" si="0"/>
        <v>47.796635547502568</v>
      </c>
      <c r="H15" s="139">
        <f t="shared" ca="1" si="1"/>
        <v>54.148330682606684</v>
      </c>
      <c r="I15" s="139">
        <f t="shared" ca="1" si="2"/>
        <v>101.94496623010924</v>
      </c>
      <c r="J15" s="140">
        <f t="shared" ca="1" si="4"/>
        <v>8074.4529668434998</v>
      </c>
    </row>
    <row r="16" spans="1:10">
      <c r="F16" s="38">
        <f t="shared" si="3"/>
        <v>8</v>
      </c>
      <c r="G16" s="139">
        <f t="shared" ca="1" si="0"/>
        <v>48.115279784485921</v>
      </c>
      <c r="H16" s="139">
        <f t="shared" ca="1" si="1"/>
        <v>53.829686445623331</v>
      </c>
      <c r="I16" s="139">
        <f t="shared" ca="1" si="2"/>
        <v>101.94496623010924</v>
      </c>
      <c r="J16" s="140">
        <f t="shared" ca="1" si="4"/>
        <v>8026.3376870590137</v>
      </c>
    </row>
    <row r="17" spans="6:10">
      <c r="F17" s="38">
        <f t="shared" si="3"/>
        <v>9</v>
      </c>
      <c r="G17" s="139">
        <f t="shared" ca="1" si="0"/>
        <v>48.43604831638249</v>
      </c>
      <c r="H17" s="139">
        <f t="shared" ca="1" si="1"/>
        <v>53.508917913726748</v>
      </c>
      <c r="I17" s="139">
        <f t="shared" ca="1" si="2"/>
        <v>101.94496623010924</v>
      </c>
      <c r="J17" s="140">
        <f t="shared" ca="1" si="4"/>
        <v>7977.9016387426309</v>
      </c>
    </row>
    <row r="18" spans="6:10">
      <c r="F18" s="38">
        <f t="shared" si="3"/>
        <v>10</v>
      </c>
      <c r="G18" s="139">
        <f t="shared" ca="1" si="0"/>
        <v>48.758955305158374</v>
      </c>
      <c r="H18" s="139">
        <f t="shared" ca="1" si="1"/>
        <v>53.186010924950878</v>
      </c>
      <c r="I18" s="139">
        <f t="shared" ca="1" si="2"/>
        <v>101.94496623010924</v>
      </c>
      <c r="J18" s="140">
        <f t="shared" ca="1" si="4"/>
        <v>7929.1426834374724</v>
      </c>
    </row>
    <row r="19" spans="6:10">
      <c r="F19" s="38">
        <f t="shared" si="3"/>
        <v>11</v>
      </c>
      <c r="G19" s="139">
        <f t="shared" ca="1" si="0"/>
        <v>49.084015007192768</v>
      </c>
      <c r="H19" s="139">
        <f t="shared" ca="1" si="1"/>
        <v>52.860951222916484</v>
      </c>
      <c r="I19" s="139">
        <f t="shared" ca="1" si="2"/>
        <v>101.94496623010924</v>
      </c>
      <c r="J19" s="140">
        <f t="shared" ca="1" si="4"/>
        <v>7880.0586684302798</v>
      </c>
    </row>
    <row r="20" spans="6:10">
      <c r="F20" s="38">
        <f t="shared" si="3"/>
        <v>12</v>
      </c>
      <c r="G20" s="139">
        <f t="shared" ca="1" si="0"/>
        <v>49.411241773907385</v>
      </c>
      <c r="H20" s="139">
        <f t="shared" ca="1" si="1"/>
        <v>52.53372445620186</v>
      </c>
      <c r="I20" s="139">
        <f t="shared" ca="1" si="2"/>
        <v>101.94496623010924</v>
      </c>
      <c r="J20" s="140">
        <f t="shared" ca="1" si="4"/>
        <v>7830.6474266563728</v>
      </c>
    </row>
    <row r="21" spans="6:10">
      <c r="F21" s="38">
        <f t="shared" si="3"/>
        <v>13</v>
      </c>
      <c r="G21" s="139">
        <f t="shared" ca="1" si="0"/>
        <v>49.740650052400099</v>
      </c>
      <c r="H21" s="139">
        <f t="shared" ca="1" si="1"/>
        <v>52.204316177709146</v>
      </c>
      <c r="I21" s="139">
        <f t="shared" ca="1" si="2"/>
        <v>101.94496623010924</v>
      </c>
      <c r="J21" s="140">
        <f t="shared" ca="1" si="4"/>
        <v>7780.9067766039725</v>
      </c>
    </row>
    <row r="22" spans="6:10">
      <c r="F22" s="38">
        <f t="shared" si="3"/>
        <v>14</v>
      </c>
      <c r="G22" s="139">
        <f t="shared" ca="1" si="0"/>
        <v>50.072254386082768</v>
      </c>
      <c r="H22" s="139">
        <f t="shared" ca="1" si="1"/>
        <v>51.872711844026469</v>
      </c>
      <c r="I22" s="139">
        <f t="shared" ca="1" si="2"/>
        <v>101.94496623010924</v>
      </c>
      <c r="J22" s="140">
        <f t="shared" ca="1" si="4"/>
        <v>7730.8345222178896</v>
      </c>
    </row>
    <row r="23" spans="6:10">
      <c r="F23" s="38">
        <f t="shared" si="3"/>
        <v>15</v>
      </c>
      <c r="G23" s="139">
        <f t="shared" ca="1" si="0"/>
        <v>50.406069415323323</v>
      </c>
      <c r="H23" s="139">
        <f t="shared" ca="1" si="1"/>
        <v>51.538896814785922</v>
      </c>
      <c r="I23" s="139">
        <f t="shared" ca="1" si="2"/>
        <v>101.94496623010924</v>
      </c>
      <c r="J23" s="140">
        <f t="shared" ca="1" si="4"/>
        <v>7680.4284528025664</v>
      </c>
    </row>
    <row r="24" spans="6:10">
      <c r="F24" s="38">
        <f t="shared" si="3"/>
        <v>16</v>
      </c>
      <c r="G24" s="139">
        <f t="shared" ca="1" si="0"/>
        <v>50.742109878092137</v>
      </c>
      <c r="H24" s="139">
        <f t="shared" ca="1" si="1"/>
        <v>51.202856352017101</v>
      </c>
      <c r="I24" s="139">
        <f t="shared" ca="1" si="2"/>
        <v>101.94496623010924</v>
      </c>
      <c r="J24" s="140">
        <f t="shared" ca="1" si="4"/>
        <v>7629.686342924474</v>
      </c>
    </row>
    <row r="25" spans="6:10">
      <c r="F25" s="38">
        <f t="shared" si="3"/>
        <v>17</v>
      </c>
      <c r="G25" s="139">
        <f t="shared" ca="1" si="0"/>
        <v>51.08039061061276</v>
      </c>
      <c r="H25" s="139">
        <f t="shared" ca="1" si="1"/>
        <v>50.864575619496499</v>
      </c>
      <c r="I25" s="139">
        <f t="shared" ca="1" si="2"/>
        <v>101.94496623010924</v>
      </c>
      <c r="J25" s="140">
        <f t="shared" ca="1" si="4"/>
        <v>7578.6059523138611</v>
      </c>
    </row>
    <row r="26" spans="6:10">
      <c r="F26" s="38">
        <f t="shared" si="3"/>
        <v>18</v>
      </c>
      <c r="G26" s="139">
        <f t="shared" ca="1" si="0"/>
        <v>51.420926548016851</v>
      </c>
      <c r="H26" s="139">
        <f t="shared" ca="1" si="1"/>
        <v>50.524039682092408</v>
      </c>
      <c r="I26" s="139">
        <f t="shared" ca="1" si="2"/>
        <v>101.94496623010924</v>
      </c>
      <c r="J26" s="140">
        <f t="shared" ca="1" si="4"/>
        <v>7527.1850257658443</v>
      </c>
    </row>
    <row r="27" spans="6:10">
      <c r="F27" s="38">
        <f t="shared" si="3"/>
        <v>19</v>
      </c>
      <c r="G27" s="139">
        <f t="shared" ca="1" si="0"/>
        <v>51.763732725003621</v>
      </c>
      <c r="H27" s="139">
        <f t="shared" ca="1" si="1"/>
        <v>50.181233505105624</v>
      </c>
      <c r="I27" s="139">
        <f t="shared" ca="1" si="2"/>
        <v>101.94496623010924</v>
      </c>
      <c r="J27" s="140">
        <f t="shared" ca="1" si="4"/>
        <v>7475.4212930408403</v>
      </c>
    </row>
    <row r="28" spans="6:10">
      <c r="F28" s="38">
        <f t="shared" si="3"/>
        <v>20</v>
      </c>
      <c r="G28" s="139">
        <f t="shared" ca="1" si="0"/>
        <v>52.108824276503647</v>
      </c>
      <c r="H28" s="139">
        <f t="shared" ca="1" si="1"/>
        <v>49.836141953605598</v>
      </c>
      <c r="I28" s="139">
        <f t="shared" ca="1" si="2"/>
        <v>101.94496623010924</v>
      </c>
      <c r="J28" s="140">
        <f t="shared" ca="1" si="4"/>
        <v>7423.3124687643367</v>
      </c>
    </row>
    <row r="29" spans="6:10">
      <c r="F29" s="38">
        <f t="shared" si="3"/>
        <v>21</v>
      </c>
      <c r="G29" s="139">
        <f t="shared" ca="1" si="0"/>
        <v>52.456216438346999</v>
      </c>
      <c r="H29" s="139">
        <f t="shared" ca="1" si="1"/>
        <v>49.488749791762238</v>
      </c>
      <c r="I29" s="139">
        <f t="shared" ca="1" si="2"/>
        <v>101.94496623010924</v>
      </c>
      <c r="J29" s="140">
        <f t="shared" ca="1" si="4"/>
        <v>7370.8562523259898</v>
      </c>
    </row>
    <row r="30" spans="6:10">
      <c r="F30" s="38">
        <f t="shared" si="3"/>
        <v>22</v>
      </c>
      <c r="G30" s="139">
        <f t="shared" ca="1" si="0"/>
        <v>52.80592454793598</v>
      </c>
      <c r="H30" s="139">
        <f t="shared" ca="1" si="1"/>
        <v>49.139041682173271</v>
      </c>
      <c r="I30" s="139">
        <f t="shared" ca="1" si="2"/>
        <v>101.94496623010924</v>
      </c>
      <c r="J30" s="140">
        <f t="shared" ca="1" si="4"/>
        <v>7318.0503277780535</v>
      </c>
    </row>
    <row r="31" spans="6:10">
      <c r="F31" s="38">
        <f t="shared" si="3"/>
        <v>23</v>
      </c>
      <c r="G31" s="139">
        <f t="shared" ca="1" si="0"/>
        <v>53.157964044922217</v>
      </c>
      <c r="H31" s="139">
        <f t="shared" ca="1" si="1"/>
        <v>48.787002185187035</v>
      </c>
      <c r="I31" s="139">
        <f t="shared" ca="1" si="2"/>
        <v>101.94496623010924</v>
      </c>
      <c r="J31" s="140">
        <f t="shared" ca="1" si="4"/>
        <v>7264.8923637331309</v>
      </c>
    </row>
    <row r="32" spans="6:10">
      <c r="F32" s="38">
        <f t="shared" si="3"/>
        <v>24</v>
      </c>
      <c r="G32" s="139">
        <f t="shared" ca="1" si="0"/>
        <v>53.512350471888368</v>
      </c>
      <c r="H32" s="139">
        <f t="shared" ca="1" si="1"/>
        <v>48.432615758220869</v>
      </c>
      <c r="I32" s="139">
        <f t="shared" ca="1" si="2"/>
        <v>101.94496623010924</v>
      </c>
      <c r="J32" s="140">
        <f t="shared" ca="1" si="4"/>
        <v>7211.3800132612423</v>
      </c>
    </row>
    <row r="33" spans="6:10">
      <c r="F33" s="38">
        <f t="shared" si="3"/>
        <v>25</v>
      </c>
      <c r="G33" s="139">
        <f t="shared" ca="1" si="0"/>
        <v>53.869099475034304</v>
      </c>
      <c r="H33" s="139">
        <f t="shared" ca="1" si="1"/>
        <v>48.075866755074955</v>
      </c>
      <c r="I33" s="139">
        <f t="shared" ca="1" si="2"/>
        <v>101.94496623010924</v>
      </c>
      <c r="J33" s="140">
        <f t="shared" ca="1" si="4"/>
        <v>7157.5109137862082</v>
      </c>
    </row>
    <row r="34" spans="6:10">
      <c r="F34" s="38">
        <f t="shared" si="3"/>
        <v>26</v>
      </c>
      <c r="G34" s="139">
        <f t="shared" ca="1" si="0"/>
        <v>54.228226804867852</v>
      </c>
      <c r="H34" s="139">
        <f t="shared" ca="1" si="1"/>
        <v>47.716739425241393</v>
      </c>
      <c r="I34" s="139">
        <f t="shared" ca="1" si="2"/>
        <v>101.94496623010924</v>
      </c>
      <c r="J34" s="140">
        <f t="shared" ca="1" si="4"/>
        <v>7103.2826869813407</v>
      </c>
    </row>
    <row r="35" spans="6:10">
      <c r="F35" s="38">
        <f t="shared" si="3"/>
        <v>27</v>
      </c>
      <c r="G35" s="139">
        <f t="shared" ca="1" si="0"/>
        <v>54.589748316900305</v>
      </c>
      <c r="H35" s="139">
        <f t="shared" ca="1" si="1"/>
        <v>47.355217913208946</v>
      </c>
      <c r="I35" s="139">
        <f t="shared" ca="1" si="2"/>
        <v>101.94496623010924</v>
      </c>
      <c r="J35" s="140">
        <f t="shared" ca="1" si="4"/>
        <v>7048.6929386644406</v>
      </c>
    </row>
    <row r="36" spans="6:10">
      <c r="F36" s="38">
        <f t="shared" si="3"/>
        <v>28</v>
      </c>
      <c r="G36" s="139">
        <f t="shared" ca="1" si="0"/>
        <v>54.953679972346308</v>
      </c>
      <c r="H36" s="139">
        <f t="shared" ca="1" si="1"/>
        <v>46.991286257762937</v>
      </c>
      <c r="I36" s="139">
        <f t="shared" ca="1" si="2"/>
        <v>101.94496623010924</v>
      </c>
      <c r="J36" s="140">
        <f t="shared" ca="1" si="4"/>
        <v>6993.7392586920942</v>
      </c>
    </row>
    <row r="37" spans="6:10">
      <c r="F37" s="38">
        <f t="shared" si="3"/>
        <v>29</v>
      </c>
      <c r="G37" s="139">
        <f t="shared" ca="1" si="0"/>
        <v>55.320037838828618</v>
      </c>
      <c r="H37" s="139">
        <f t="shared" ca="1" si="1"/>
        <v>46.624928391280619</v>
      </c>
      <c r="I37" s="139">
        <f t="shared" ca="1" si="2"/>
        <v>101.94496623010924</v>
      </c>
      <c r="J37" s="140">
        <f t="shared" ca="1" si="4"/>
        <v>6938.4192208532659</v>
      </c>
    </row>
    <row r="38" spans="6:10">
      <c r="F38" s="38">
        <f t="shared" si="3"/>
        <v>30</v>
      </c>
      <c r="G38" s="139">
        <f t="shared" ca="1" si="0"/>
        <v>55.688838091087483</v>
      </c>
      <c r="H38" s="139">
        <f t="shared" ca="1" si="1"/>
        <v>46.256128139021769</v>
      </c>
      <c r="I38" s="139">
        <f t="shared" ca="1" si="2"/>
        <v>101.94496623010924</v>
      </c>
      <c r="J38" s="140">
        <f t="shared" ca="1" si="4"/>
        <v>6882.7303827621781</v>
      </c>
    </row>
    <row r="39" spans="6:10">
      <c r="F39" s="38">
        <f t="shared" si="3"/>
        <v>31</v>
      </c>
      <c r="G39" s="139">
        <f t="shared" ca="1" si="0"/>
        <v>56.060097011694722</v>
      </c>
      <c r="H39" s="139">
        <f t="shared" ca="1" si="1"/>
        <v>45.884869218414515</v>
      </c>
      <c r="I39" s="139">
        <f t="shared" ca="1" si="2"/>
        <v>101.94496623010924</v>
      </c>
      <c r="J39" s="140">
        <f t="shared" ca="1" si="4"/>
        <v>6826.6702857504833</v>
      </c>
    </row>
    <row r="40" spans="6:10">
      <c r="F40" s="38">
        <f t="shared" si="3"/>
        <v>32</v>
      </c>
      <c r="G40" s="139">
        <f t="shared" ca="1" si="0"/>
        <v>56.433830991772695</v>
      </c>
      <c r="H40" s="139">
        <f t="shared" ca="1" si="1"/>
        <v>45.511135238336557</v>
      </c>
      <c r="I40" s="139">
        <f t="shared" ca="1" si="2"/>
        <v>101.94496623010924</v>
      </c>
      <c r="J40" s="140">
        <f t="shared" ca="1" si="4"/>
        <v>6770.2364547587104</v>
      </c>
    </row>
    <row r="41" spans="6:10">
      <c r="F41" s="38">
        <f t="shared" si="3"/>
        <v>33</v>
      </c>
      <c r="G41" s="139">
        <f t="shared" ca="1" si="0"/>
        <v>56.810056531717848</v>
      </c>
      <c r="H41" s="139">
        <f t="shared" ca="1" si="1"/>
        <v>45.134909698391397</v>
      </c>
      <c r="I41" s="139">
        <f t="shared" ca="1" si="2"/>
        <v>101.94496623010924</v>
      </c>
      <c r="J41" s="140">
        <f t="shared" ca="1" si="4"/>
        <v>6713.4263982269922</v>
      </c>
    </row>
    <row r="42" spans="6:10">
      <c r="F42" s="38">
        <f t="shared" si="3"/>
        <v>34</v>
      </c>
      <c r="G42" s="139">
        <f t="shared" ca="1" si="0"/>
        <v>57.188790241929304</v>
      </c>
      <c r="H42" s="139">
        <f t="shared" ca="1" si="1"/>
        <v>44.756175988179947</v>
      </c>
      <c r="I42" s="139">
        <f t="shared" ca="1" si="2"/>
        <v>101.94496623010924</v>
      </c>
      <c r="J42" s="140">
        <f t="shared" ca="1" si="4"/>
        <v>6656.2376079850628</v>
      </c>
    </row>
    <row r="43" spans="6:10">
      <c r="F43" s="38">
        <f t="shared" si="3"/>
        <v>35</v>
      </c>
      <c r="G43" s="139">
        <f t="shared" ca="1" si="0"/>
        <v>57.570048843542153</v>
      </c>
      <c r="H43" s="139">
        <f t="shared" ca="1" si="1"/>
        <v>44.374917386567091</v>
      </c>
      <c r="I43" s="139">
        <f t="shared" ca="1" si="2"/>
        <v>101.94496623010924</v>
      </c>
      <c r="J43" s="140">
        <f t="shared" ca="1" si="4"/>
        <v>6598.6675591415205</v>
      </c>
    </row>
    <row r="44" spans="6:10">
      <c r="F44" s="38">
        <f t="shared" si="3"/>
        <v>36</v>
      </c>
      <c r="G44" s="139">
        <f t="shared" ca="1" si="0"/>
        <v>57.953849169165771</v>
      </c>
      <c r="H44" s="139">
        <f t="shared" ca="1" si="1"/>
        <v>43.991117060943481</v>
      </c>
      <c r="I44" s="139">
        <f t="shared" ca="1" si="2"/>
        <v>101.94496623010924</v>
      </c>
      <c r="J44" s="140">
        <f t="shared" ca="1" si="4"/>
        <v>6540.713709972355</v>
      </c>
    </row>
    <row r="45" spans="6:10">
      <c r="F45" s="38">
        <f t="shared" si="3"/>
        <v>37</v>
      </c>
      <c r="G45" s="139">
        <f t="shared" ca="1" si="0"/>
        <v>58.340208163626876</v>
      </c>
      <c r="H45" s="139">
        <f t="shared" ca="1" si="1"/>
        <v>43.604758066482368</v>
      </c>
      <c r="I45" s="139">
        <f t="shared" ca="1" si="2"/>
        <v>101.94496623010924</v>
      </c>
      <c r="J45" s="140">
        <f t="shared" ca="1" si="4"/>
        <v>6482.3735018087282</v>
      </c>
    </row>
    <row r="46" spans="6:10">
      <c r="F46" s="38">
        <f t="shared" si="3"/>
        <v>38</v>
      </c>
      <c r="G46" s="139">
        <f t="shared" ca="1" si="0"/>
        <v>58.729142884717724</v>
      </c>
      <c r="H46" s="139">
        <f t="shared" ca="1" si="1"/>
        <v>43.215823345391527</v>
      </c>
      <c r="I46" s="139">
        <f t="shared" ca="1" si="2"/>
        <v>101.94496623010924</v>
      </c>
      <c r="J46" s="140">
        <f t="shared" ca="1" si="4"/>
        <v>6423.6443589240107</v>
      </c>
    </row>
    <row r="47" spans="6:10">
      <c r="F47" s="38">
        <f t="shared" si="3"/>
        <v>39</v>
      </c>
      <c r="G47" s="139">
        <f t="shared" ca="1" si="0"/>
        <v>59.120670503949164</v>
      </c>
      <c r="H47" s="139">
        <f t="shared" ca="1" si="1"/>
        <v>42.824295726160074</v>
      </c>
      <c r="I47" s="139">
        <f t="shared" ca="1" si="2"/>
        <v>101.94496623010924</v>
      </c>
      <c r="J47" s="140">
        <f t="shared" ca="1" si="4"/>
        <v>6364.5236884200613</v>
      </c>
    </row>
    <row r="48" spans="6:10">
      <c r="F48" s="38">
        <f t="shared" si="3"/>
        <v>40</v>
      </c>
      <c r="G48" s="139">
        <f t="shared" ca="1" si="0"/>
        <v>59.514808307308826</v>
      </c>
      <c r="H48" s="139">
        <f t="shared" ca="1" si="1"/>
        <v>42.430157922800404</v>
      </c>
      <c r="I48" s="139">
        <f t="shared" ca="1" si="2"/>
        <v>101.94496623010924</v>
      </c>
      <c r="J48" s="140">
        <f t="shared" ca="1" si="4"/>
        <v>6305.0088801127522</v>
      </c>
    </row>
    <row r="49" spans="6:10">
      <c r="F49" s="38">
        <f t="shared" si="3"/>
        <v>41</v>
      </c>
      <c r="G49" s="139">
        <f t="shared" ca="1" si="0"/>
        <v>59.91157369602422</v>
      </c>
      <c r="H49" s="139">
        <f t="shared" ca="1" si="1"/>
        <v>42.03339253408501</v>
      </c>
      <c r="I49" s="139">
        <f t="shared" ca="1" si="2"/>
        <v>101.94496623010924</v>
      </c>
      <c r="J49" s="140">
        <f t="shared" ca="1" si="4"/>
        <v>6245.0973064167283</v>
      </c>
    </row>
    <row r="50" spans="6:10">
      <c r="F50" s="38">
        <f t="shared" si="3"/>
        <v>42</v>
      </c>
      <c r="G50" s="139">
        <f t="shared" ca="1" si="0"/>
        <v>60.310984187331051</v>
      </c>
      <c r="H50" s="139">
        <f t="shared" ca="1" si="1"/>
        <v>41.633982042778193</v>
      </c>
      <c r="I50" s="139">
        <f t="shared" ca="1" si="2"/>
        <v>101.94496623010924</v>
      </c>
      <c r="J50" s="140">
        <f t="shared" ca="1" si="4"/>
        <v>6184.7863222293972</v>
      </c>
    </row>
    <row r="51" spans="6:10">
      <c r="F51" s="38">
        <f>F50+1</f>
        <v>43</v>
      </c>
      <c r="G51" s="139">
        <f t="shared" ca="1" si="0"/>
        <v>60.713057415246602</v>
      </c>
      <c r="H51" s="139">
        <f t="shared" ca="1" si="1"/>
        <v>41.231908814862649</v>
      </c>
      <c r="I51" s="139">
        <f t="shared" ca="1" si="2"/>
        <v>101.94496623010924</v>
      </c>
      <c r="J51" s="140">
        <f t="shared" ca="1" si="4"/>
        <v>6124.0732648141502</v>
      </c>
    </row>
    <row r="52" spans="6:10">
      <c r="F52" s="38">
        <f t="shared" ref="F52:F115" si="5">F51+1</f>
        <v>44</v>
      </c>
      <c r="G52" s="139">
        <f t="shared" ca="1" si="0"/>
        <v>61.117811131348233</v>
      </c>
      <c r="H52" s="139">
        <f t="shared" ca="1" si="1"/>
        <v>40.827155098761011</v>
      </c>
      <c r="I52" s="139">
        <f t="shared" ca="1" si="2"/>
        <v>101.94496623010924</v>
      </c>
      <c r="J52" s="140">
        <f t="shared" ca="1" si="4"/>
        <v>6062.9554536828018</v>
      </c>
    </row>
    <row r="53" spans="6:10">
      <c r="F53" s="38">
        <f t="shared" si="5"/>
        <v>45</v>
      </c>
      <c r="G53" s="139">
        <f t="shared" ca="1" si="0"/>
        <v>61.525263205557216</v>
      </c>
      <c r="H53" s="139">
        <f t="shared" ca="1" si="1"/>
        <v>40.419703024552021</v>
      </c>
      <c r="I53" s="139">
        <f t="shared" ca="1" si="2"/>
        <v>101.94496623010924</v>
      </c>
      <c r="J53" s="140">
        <f t="shared" ca="1" si="4"/>
        <v>6001.4301904772447</v>
      </c>
    </row>
    <row r="54" spans="6:10">
      <c r="F54" s="38">
        <f t="shared" si="5"/>
        <v>46</v>
      </c>
      <c r="G54" s="139">
        <f t="shared" ca="1" si="0"/>
        <v>61.93543162692761</v>
      </c>
      <c r="H54" s="139">
        <f t="shared" ca="1" si="1"/>
        <v>40.009534603181635</v>
      </c>
      <c r="I54" s="139">
        <f t="shared" ca="1" si="2"/>
        <v>101.94496623010924</v>
      </c>
      <c r="J54" s="140">
        <f t="shared" ca="1" si="4"/>
        <v>5939.4947588503173</v>
      </c>
    </row>
    <row r="55" spans="6:10">
      <c r="F55" s="38">
        <f t="shared" si="5"/>
        <v>47</v>
      </c>
      <c r="G55" s="139">
        <f t="shared" ca="1" si="0"/>
        <v>62.348334504440452</v>
      </c>
      <c r="H55" s="139">
        <f t="shared" ca="1" si="1"/>
        <v>39.596631725668786</v>
      </c>
      <c r="I55" s="139">
        <f t="shared" ca="1" si="2"/>
        <v>101.94496623010924</v>
      </c>
      <c r="J55" s="140">
        <f t="shared" ca="1" si="4"/>
        <v>5877.1464243458768</v>
      </c>
    </row>
    <row r="56" spans="6:10">
      <c r="F56" s="38">
        <f t="shared" si="5"/>
        <v>48</v>
      </c>
      <c r="G56" s="139">
        <f t="shared" ca="1" si="0"/>
        <v>62.763990067803391</v>
      </c>
      <c r="H56" s="139">
        <f t="shared" ca="1" si="1"/>
        <v>39.180976162305853</v>
      </c>
      <c r="I56" s="139">
        <f t="shared" ca="1" si="2"/>
        <v>101.94496623010924</v>
      </c>
      <c r="J56" s="140">
        <f t="shared" ca="1" si="4"/>
        <v>5814.3824342780736</v>
      </c>
    </row>
    <row r="57" spans="6:10">
      <c r="F57" s="38">
        <f t="shared" si="5"/>
        <v>49</v>
      </c>
      <c r="G57" s="139">
        <f t="shared" ca="1" si="0"/>
        <v>63.182416668255421</v>
      </c>
      <c r="H57" s="139">
        <f t="shared" ca="1" si="1"/>
        <v>38.762549561853824</v>
      </c>
      <c r="I57" s="139">
        <f t="shared" ca="1" si="2"/>
        <v>101.94496623010924</v>
      </c>
      <c r="J57" s="140">
        <f t="shared" ca="1" si="4"/>
        <v>5751.2000176098181</v>
      </c>
    </row>
    <row r="58" spans="6:10">
      <c r="F58" s="38">
        <f t="shared" si="5"/>
        <v>50</v>
      </c>
      <c r="G58" s="139">
        <f t="shared" ca="1" si="0"/>
        <v>63.603632779377115</v>
      </c>
      <c r="H58" s="139">
        <f t="shared" ca="1" si="1"/>
        <v>38.341333450732122</v>
      </c>
      <c r="I58" s="139">
        <f t="shared" ca="1" si="2"/>
        <v>101.94496623010924</v>
      </c>
      <c r="J58" s="140">
        <f t="shared" ca="1" si="4"/>
        <v>5687.5963848304409</v>
      </c>
    </row>
    <row r="59" spans="6:10">
      <c r="F59" s="38">
        <f t="shared" si="5"/>
        <v>51</v>
      </c>
      <c r="G59" s="139">
        <f t="shared" ca="1" si="0"/>
        <v>64.027656997906291</v>
      </c>
      <c r="H59" s="139">
        <f t="shared" ca="1" si="1"/>
        <v>37.917309232202946</v>
      </c>
      <c r="I59" s="139">
        <f t="shared" ca="1" si="2"/>
        <v>101.94496623010924</v>
      </c>
      <c r="J59" s="140">
        <f t="shared" ca="1" si="4"/>
        <v>5623.5687278325349</v>
      </c>
    </row>
    <row r="60" spans="6:10">
      <c r="F60" s="38">
        <f t="shared" si="5"/>
        <v>52</v>
      </c>
      <c r="G60" s="139">
        <f t="shared" ca="1" si="0"/>
        <v>64.454508044559006</v>
      </c>
      <c r="H60" s="139">
        <f t="shared" ca="1" si="1"/>
        <v>37.490458185550239</v>
      </c>
      <c r="I60" s="139">
        <f t="shared" ca="1" si="2"/>
        <v>101.94496623010924</v>
      </c>
      <c r="J60" s="140">
        <f t="shared" ca="1" si="4"/>
        <v>5559.1142197879763</v>
      </c>
    </row>
    <row r="61" spans="6:10">
      <c r="F61" s="38">
        <f t="shared" si="5"/>
        <v>53</v>
      </c>
      <c r="G61" s="139">
        <f t="shared" ca="1" si="0"/>
        <v>64.884204764856065</v>
      </c>
      <c r="H61" s="139">
        <f t="shared" ca="1" si="1"/>
        <v>37.060761465253172</v>
      </c>
      <c r="I61" s="139">
        <f t="shared" ca="1" si="2"/>
        <v>101.94496623010924</v>
      </c>
      <c r="J61" s="140">
        <f t="shared" ca="1" si="4"/>
        <v>5494.2300150231204</v>
      </c>
    </row>
    <row r="62" spans="6:10">
      <c r="F62" s="38">
        <f t="shared" si="5"/>
        <v>54</v>
      </c>
      <c r="G62" s="139">
        <f t="shared" ca="1" si="0"/>
        <v>65.316766129955113</v>
      </c>
      <c r="H62" s="139">
        <f t="shared" ca="1" si="1"/>
        <v>36.628200100154132</v>
      </c>
      <c r="I62" s="139">
        <f t="shared" ca="1" si="2"/>
        <v>101.94496623010924</v>
      </c>
      <c r="J62" s="140">
        <f t="shared" ca="1" si="4"/>
        <v>5428.9132488931655</v>
      </c>
    </row>
    <row r="63" spans="6:10">
      <c r="F63" s="38">
        <f t="shared" si="5"/>
        <v>55</v>
      </c>
      <c r="G63" s="139">
        <f t="shared" ca="1" si="0"/>
        <v>65.75221123748814</v>
      </c>
      <c r="H63" s="139">
        <f t="shared" ca="1" si="1"/>
        <v>36.192754992621097</v>
      </c>
      <c r="I63" s="139">
        <f t="shared" ca="1" si="2"/>
        <v>101.94496623010924</v>
      </c>
      <c r="J63" s="140">
        <f t="shared" ca="1" si="4"/>
        <v>5363.1610376556773</v>
      </c>
    </row>
    <row r="64" spans="6:10">
      <c r="F64" s="38">
        <f t="shared" si="5"/>
        <v>56</v>
      </c>
      <c r="G64" s="139">
        <f t="shared" ca="1" si="0"/>
        <v>66.19055931240473</v>
      </c>
      <c r="H64" s="139">
        <f t="shared" ca="1" si="1"/>
        <v>35.754406917704515</v>
      </c>
      <c r="I64" s="139">
        <f t="shared" ca="1" si="2"/>
        <v>101.94496623010924</v>
      </c>
      <c r="J64" s="140">
        <f t="shared" ca="1" si="4"/>
        <v>5296.9704783432726</v>
      </c>
    </row>
    <row r="65" spans="6:10">
      <c r="F65" s="38">
        <f t="shared" si="5"/>
        <v>57</v>
      </c>
      <c r="G65" s="139">
        <f t="shared" ca="1" si="0"/>
        <v>66.631829707820771</v>
      </c>
      <c r="H65" s="139">
        <f t="shared" ca="1" si="1"/>
        <v>35.313136522288488</v>
      </c>
      <c r="I65" s="139">
        <f t="shared" ca="1" si="2"/>
        <v>101.94496623010924</v>
      </c>
      <c r="J65" s="140">
        <f t="shared" ca="1" si="4"/>
        <v>5230.338648635452</v>
      </c>
    </row>
    <row r="66" spans="6:10">
      <c r="F66" s="38">
        <f t="shared" si="5"/>
        <v>58</v>
      </c>
      <c r="G66" s="139">
        <f t="shared" ca="1" si="0"/>
        <v>67.076041905872913</v>
      </c>
      <c r="H66" s="139">
        <f t="shared" ca="1" si="1"/>
        <v>34.868924324236346</v>
      </c>
      <c r="I66" s="139">
        <f t="shared" ca="1" si="2"/>
        <v>101.94496623010924</v>
      </c>
      <c r="J66" s="140">
        <f t="shared" ca="1" si="4"/>
        <v>5163.2626067295787</v>
      </c>
    </row>
    <row r="67" spans="6:10">
      <c r="F67" s="38">
        <f t="shared" si="5"/>
        <v>59</v>
      </c>
      <c r="G67" s="139">
        <f t="shared" ca="1" si="0"/>
        <v>67.523215518578724</v>
      </c>
      <c r="H67" s="139">
        <f t="shared" ca="1" si="1"/>
        <v>34.421750711530528</v>
      </c>
      <c r="I67" s="139">
        <f t="shared" ca="1" si="2"/>
        <v>101.94496623010924</v>
      </c>
      <c r="J67" s="140">
        <f t="shared" ca="1" si="4"/>
        <v>5095.7393912110001</v>
      </c>
    </row>
    <row r="68" spans="6:10">
      <c r="F68" s="38">
        <f t="shared" si="5"/>
        <v>60</v>
      </c>
      <c r="G68" s="139">
        <f t="shared" ca="1" si="0"/>
        <v>67.973370288702583</v>
      </c>
      <c r="H68" s="139">
        <f t="shared" ca="1" si="1"/>
        <v>33.971595941406669</v>
      </c>
      <c r="I68" s="139">
        <f t="shared" ca="1" si="2"/>
        <v>101.94496623010924</v>
      </c>
      <c r="J68" s="140">
        <f t="shared" ca="1" si="4"/>
        <v>5027.7660209222977</v>
      </c>
    </row>
    <row r="69" spans="6:10">
      <c r="F69" s="38">
        <f t="shared" si="5"/>
        <v>61</v>
      </c>
      <c r="G69" s="139">
        <f t="shared" ca="1" si="0"/>
        <v>68.426526090627277</v>
      </c>
      <c r="H69" s="139">
        <f t="shared" ca="1" si="1"/>
        <v>33.518440139481989</v>
      </c>
      <c r="I69" s="139">
        <f t="shared" ca="1" si="2"/>
        <v>101.94496623010924</v>
      </c>
      <c r="J69" s="140">
        <f t="shared" ca="1" si="4"/>
        <v>4959.33949483167</v>
      </c>
    </row>
    <row r="70" spans="6:10">
      <c r="F70" s="38">
        <f t="shared" si="5"/>
        <v>62</v>
      </c>
      <c r="G70" s="139">
        <f t="shared" ca="1" si="0"/>
        <v>68.882702931231435</v>
      </c>
      <c r="H70" s="139">
        <f t="shared" ca="1" si="1"/>
        <v>33.062263298877795</v>
      </c>
      <c r="I70" s="139">
        <f t="shared" ca="1" si="2"/>
        <v>101.94496623010924</v>
      </c>
      <c r="J70" s="140">
        <f t="shared" ca="1" si="4"/>
        <v>4890.4567919004385</v>
      </c>
    </row>
    <row r="71" spans="6:10">
      <c r="F71" s="38">
        <f t="shared" si="5"/>
        <v>63</v>
      </c>
      <c r="G71" s="139">
        <f t="shared" ca="1" si="0"/>
        <v>69.341920950772987</v>
      </c>
      <c r="H71" s="139">
        <f t="shared" ca="1" si="1"/>
        <v>32.603045279336257</v>
      </c>
      <c r="I71" s="139">
        <f t="shared" ca="1" si="2"/>
        <v>101.94496623010924</v>
      </c>
      <c r="J71" s="140">
        <f t="shared" ca="1" si="4"/>
        <v>4821.1148709496656</v>
      </c>
    </row>
    <row r="72" spans="6:10">
      <c r="F72" s="38">
        <f t="shared" si="5"/>
        <v>64</v>
      </c>
      <c r="G72" s="139">
        <f t="shared" ca="1" si="0"/>
        <v>69.804200423778127</v>
      </c>
      <c r="H72" s="139">
        <f t="shared" ca="1" si="1"/>
        <v>32.140765806331103</v>
      </c>
      <c r="I72" s="139">
        <f t="shared" ca="1" si="2"/>
        <v>101.94496623010924</v>
      </c>
      <c r="J72" s="140">
        <f t="shared" ca="1" si="4"/>
        <v>4751.3106705258879</v>
      </c>
    </row>
    <row r="73" spans="6:10">
      <c r="F73" s="38">
        <f t="shared" si="5"/>
        <v>65</v>
      </c>
      <c r="G73" s="139">
        <f t="shared" ca="1" si="0"/>
        <v>70.269561759936664</v>
      </c>
      <c r="H73" s="139">
        <f t="shared" ca="1" si="1"/>
        <v>31.67540447017258</v>
      </c>
      <c r="I73" s="139">
        <f t="shared" ca="1" si="2"/>
        <v>101.94496623010924</v>
      </c>
      <c r="J73" s="140">
        <f t="shared" ca="1" si="4"/>
        <v>4681.0411087659513</v>
      </c>
    </row>
    <row r="74" spans="6:10">
      <c r="F74" s="38">
        <f t="shared" si="5"/>
        <v>66</v>
      </c>
      <c r="G74" s="139">
        <f t="shared" ref="G74:G128" ca="1" si="6">-PPMT($C$6/12,$F74,$C$7*12,$C$5)</f>
        <v>70.738025505002909</v>
      </c>
      <c r="H74" s="139">
        <f t="shared" ref="H74:H128" ca="1" si="7">-IPMT($C$6/12,$F74,$C$7*12,$C$5)</f>
        <v>31.206940725106332</v>
      </c>
      <c r="I74" s="139">
        <f t="shared" ref="I74:I128" ca="1" si="8">-PMT($C$6/12,$C$7*12,$C$5)</f>
        <v>101.94496623010924</v>
      </c>
      <c r="J74" s="140">
        <f t="shared" ca="1" si="4"/>
        <v>4610.3030832609484</v>
      </c>
    </row>
    <row r="75" spans="6:10">
      <c r="F75" s="38">
        <f t="shared" si="5"/>
        <v>67</v>
      </c>
      <c r="G75" s="139">
        <f t="shared" ca="1" si="6"/>
        <v>71.209612341702922</v>
      </c>
      <c r="H75" s="139">
        <f t="shared" ca="1" si="7"/>
        <v>30.735353888406319</v>
      </c>
      <c r="I75" s="139">
        <f t="shared" ca="1" si="8"/>
        <v>101.94496623010924</v>
      </c>
      <c r="J75" s="140">
        <f t="shared" ref="J75:J128" ca="1" si="9">J74-G75</f>
        <v>4539.0934709192452</v>
      </c>
    </row>
    <row r="76" spans="6:10">
      <c r="F76" s="38">
        <f t="shared" si="5"/>
        <v>68</v>
      </c>
      <c r="G76" s="139">
        <f t="shared" ca="1" si="6"/>
        <v>71.684343090647616</v>
      </c>
      <c r="H76" s="139">
        <f t="shared" ca="1" si="7"/>
        <v>30.260623139461629</v>
      </c>
      <c r="I76" s="139">
        <f t="shared" ca="1" si="8"/>
        <v>101.94496623010924</v>
      </c>
      <c r="J76" s="140">
        <f t="shared" ca="1" si="9"/>
        <v>4467.4091278285978</v>
      </c>
    </row>
    <row r="77" spans="6:10">
      <c r="F77" s="38">
        <f t="shared" si="5"/>
        <v>69</v>
      </c>
      <c r="G77" s="139">
        <f t="shared" ca="1" si="6"/>
        <v>72.162238711251931</v>
      </c>
      <c r="H77" s="139">
        <f t="shared" ca="1" si="7"/>
        <v>29.782727518857307</v>
      </c>
      <c r="I77" s="139">
        <f t="shared" ca="1" si="8"/>
        <v>101.94496623010924</v>
      </c>
      <c r="J77" s="140">
        <f t="shared" ca="1" si="9"/>
        <v>4395.2468891173457</v>
      </c>
    </row>
    <row r="78" spans="6:10">
      <c r="F78" s="38">
        <f t="shared" si="5"/>
        <v>70</v>
      </c>
      <c r="G78" s="139">
        <f t="shared" ca="1" si="6"/>
        <v>72.643320302660285</v>
      </c>
      <c r="H78" s="139">
        <f t="shared" ca="1" si="7"/>
        <v>29.301645927448966</v>
      </c>
      <c r="I78" s="139">
        <f t="shared" ca="1" si="8"/>
        <v>101.94496623010924</v>
      </c>
      <c r="J78" s="140">
        <f t="shared" ca="1" si="9"/>
        <v>4322.6035688146858</v>
      </c>
    </row>
    <row r="79" spans="6:10">
      <c r="F79" s="38">
        <f t="shared" si="5"/>
        <v>71</v>
      </c>
      <c r="G79" s="139">
        <f t="shared" ca="1" si="6"/>
        <v>73.127609104678001</v>
      </c>
      <c r="H79" s="139">
        <f t="shared" ca="1" si="7"/>
        <v>28.817357125431233</v>
      </c>
      <c r="I79" s="139">
        <f t="shared" ca="1" si="8"/>
        <v>101.94496623010924</v>
      </c>
      <c r="J79" s="140">
        <f t="shared" ca="1" si="9"/>
        <v>4249.4759597100074</v>
      </c>
    </row>
    <row r="80" spans="6:10">
      <c r="F80" s="38">
        <f t="shared" si="5"/>
        <v>72</v>
      </c>
      <c r="G80" s="139">
        <f t="shared" ca="1" si="6"/>
        <v>73.615126498709202</v>
      </c>
      <c r="H80" s="139">
        <f t="shared" ca="1" si="7"/>
        <v>28.329839731400046</v>
      </c>
      <c r="I80" s="139">
        <f t="shared" ca="1" si="8"/>
        <v>101.94496623010924</v>
      </c>
      <c r="J80" s="140">
        <f t="shared" ca="1" si="9"/>
        <v>4175.8608332112981</v>
      </c>
    </row>
    <row r="81" spans="6:10">
      <c r="F81" s="38">
        <f t="shared" si="5"/>
        <v>73</v>
      </c>
      <c r="G81" s="139">
        <f t="shared" ca="1" si="6"/>
        <v>74.105894008700588</v>
      </c>
      <c r="H81" s="139">
        <f t="shared" ca="1" si="7"/>
        <v>27.839072221408649</v>
      </c>
      <c r="I81" s="139">
        <f t="shared" ca="1" si="8"/>
        <v>101.94496623010924</v>
      </c>
      <c r="J81" s="140">
        <f t="shared" ca="1" si="9"/>
        <v>4101.7549392025976</v>
      </c>
    </row>
    <row r="82" spans="6:10">
      <c r="F82" s="38">
        <f t="shared" si="5"/>
        <v>74</v>
      </c>
      <c r="G82" s="139">
        <f t="shared" ca="1" si="6"/>
        <v>74.599933302091927</v>
      </c>
      <c r="H82" s="139">
        <f t="shared" ca="1" si="7"/>
        <v>27.345032928017314</v>
      </c>
      <c r="I82" s="139">
        <f t="shared" ca="1" si="8"/>
        <v>101.94496623010924</v>
      </c>
      <c r="J82" s="140">
        <f t="shared" ca="1" si="9"/>
        <v>4027.1550059005058</v>
      </c>
    </row>
    <row r="83" spans="6:10">
      <c r="F83" s="38">
        <f t="shared" si="5"/>
        <v>75</v>
      </c>
      <c r="G83" s="139">
        <f t="shared" ca="1" si="6"/>
        <v>75.097266190772544</v>
      </c>
      <c r="H83" s="139">
        <f t="shared" ca="1" si="7"/>
        <v>26.847700039336708</v>
      </c>
      <c r="I83" s="139">
        <f t="shared" ca="1" si="8"/>
        <v>101.94496623010924</v>
      </c>
      <c r="J83" s="140">
        <f t="shared" ca="1" si="9"/>
        <v>3952.0577397097331</v>
      </c>
    </row>
    <row r="84" spans="6:10">
      <c r="F84" s="38">
        <f t="shared" si="5"/>
        <v>76</v>
      </c>
      <c r="G84" s="139">
        <f t="shared" ca="1" si="6"/>
        <v>75.59791463204435</v>
      </c>
      <c r="H84" s="139">
        <f t="shared" ca="1" si="7"/>
        <v>26.347051598064883</v>
      </c>
      <c r="I84" s="139">
        <f t="shared" ca="1" si="8"/>
        <v>101.94496623010924</v>
      </c>
      <c r="J84" s="140">
        <f t="shared" ca="1" si="9"/>
        <v>3876.4598250776889</v>
      </c>
    </row>
    <row r="85" spans="6:10">
      <c r="F85" s="38">
        <f t="shared" si="5"/>
        <v>77</v>
      </c>
      <c r="G85" s="139">
        <f t="shared" ca="1" si="6"/>
        <v>76.101900729591321</v>
      </c>
      <c r="H85" s="139">
        <f t="shared" ca="1" si="7"/>
        <v>25.843065500517923</v>
      </c>
      <c r="I85" s="139">
        <f t="shared" ca="1" si="8"/>
        <v>101.94496623010924</v>
      </c>
      <c r="J85" s="140">
        <f t="shared" ca="1" si="9"/>
        <v>3800.3579243480976</v>
      </c>
    </row>
    <row r="86" spans="6:10">
      <c r="F86" s="38">
        <f t="shared" si="5"/>
        <v>78</v>
      </c>
      <c r="G86" s="139">
        <f t="shared" ca="1" si="6"/>
        <v>76.609246734455269</v>
      </c>
      <c r="H86" s="139">
        <f t="shared" ca="1" si="7"/>
        <v>25.335719495653983</v>
      </c>
      <c r="I86" s="139">
        <f t="shared" ca="1" si="8"/>
        <v>101.94496623010924</v>
      </c>
      <c r="J86" s="140">
        <f t="shared" ca="1" si="9"/>
        <v>3723.7486776136425</v>
      </c>
    </row>
    <row r="87" spans="6:10">
      <c r="F87" s="38">
        <f t="shared" si="5"/>
        <v>79</v>
      </c>
      <c r="G87" s="139">
        <f t="shared" ca="1" si="6"/>
        <v>77.119975046018297</v>
      </c>
      <c r="H87" s="139">
        <f t="shared" ca="1" si="7"/>
        <v>24.824991184090944</v>
      </c>
      <c r="I87" s="139">
        <f t="shared" ca="1" si="8"/>
        <v>101.94496623010924</v>
      </c>
      <c r="J87" s="140">
        <f t="shared" ca="1" si="9"/>
        <v>3646.6287025676243</v>
      </c>
    </row>
    <row r="88" spans="6:10">
      <c r="F88" s="38">
        <f t="shared" si="5"/>
        <v>80</v>
      </c>
      <c r="G88" s="139">
        <f t="shared" ca="1" si="6"/>
        <v>77.634108212991762</v>
      </c>
      <c r="H88" s="139">
        <f t="shared" ca="1" si="7"/>
        <v>24.310858017117493</v>
      </c>
      <c r="I88" s="139">
        <f t="shared" ca="1" si="8"/>
        <v>101.94496623010924</v>
      </c>
      <c r="J88" s="140">
        <f t="shared" ca="1" si="9"/>
        <v>3568.9945943546327</v>
      </c>
    </row>
    <row r="89" spans="6:10">
      <c r="F89" s="38">
        <f t="shared" si="5"/>
        <v>81</v>
      </c>
      <c r="G89" s="139">
        <f t="shared" ca="1" si="6"/>
        <v>78.151668934411703</v>
      </c>
      <c r="H89" s="139">
        <f t="shared" ca="1" si="7"/>
        <v>23.793297295697542</v>
      </c>
      <c r="I89" s="139">
        <f t="shared" ca="1" si="8"/>
        <v>101.94496623010924</v>
      </c>
      <c r="J89" s="140">
        <f t="shared" ca="1" si="9"/>
        <v>3490.842925420221</v>
      </c>
    </row>
    <row r="90" spans="6:10">
      <c r="F90" s="38">
        <f t="shared" si="5"/>
        <v>82</v>
      </c>
      <c r="G90" s="139">
        <f t="shared" ca="1" si="6"/>
        <v>78.672680060641127</v>
      </c>
      <c r="H90" s="139">
        <f t="shared" ca="1" si="7"/>
        <v>23.272286169468131</v>
      </c>
      <c r="I90" s="139">
        <f t="shared" ca="1" si="8"/>
        <v>101.94496623010924</v>
      </c>
      <c r="J90" s="140">
        <f t="shared" ca="1" si="9"/>
        <v>3412.1702453595799</v>
      </c>
    </row>
    <row r="91" spans="6:10">
      <c r="F91" s="38">
        <f t="shared" si="5"/>
        <v>83</v>
      </c>
      <c r="G91" s="139">
        <f t="shared" ca="1" si="6"/>
        <v>79.197164594378734</v>
      </c>
      <c r="H91" s="139">
        <f t="shared" ca="1" si="7"/>
        <v>22.747801635730525</v>
      </c>
      <c r="I91" s="139">
        <f t="shared" ca="1" si="8"/>
        <v>101.94496623010924</v>
      </c>
      <c r="J91" s="140">
        <f t="shared" ca="1" si="9"/>
        <v>3332.9730807652013</v>
      </c>
    </row>
    <row r="92" spans="6:10">
      <c r="F92" s="38">
        <f t="shared" si="5"/>
        <v>84</v>
      </c>
      <c r="G92" s="139">
        <f t="shared" ca="1" si="6"/>
        <v>79.72514569167457</v>
      </c>
      <c r="H92" s="139">
        <f t="shared" ca="1" si="7"/>
        <v>22.219820538434664</v>
      </c>
      <c r="I92" s="139">
        <f t="shared" ca="1" si="8"/>
        <v>101.94496623010924</v>
      </c>
      <c r="J92" s="140">
        <f t="shared" ca="1" si="9"/>
        <v>3253.2479350735266</v>
      </c>
    </row>
    <row r="93" spans="6:10">
      <c r="F93" s="38">
        <f t="shared" si="5"/>
        <v>85</v>
      </c>
      <c r="G93" s="139">
        <f t="shared" ca="1" si="6"/>
        <v>80.256646662952406</v>
      </c>
      <c r="H93" s="139">
        <f t="shared" ca="1" si="7"/>
        <v>21.688319567156835</v>
      </c>
      <c r="I93" s="139">
        <f t="shared" ca="1" si="8"/>
        <v>101.94496623010924</v>
      </c>
      <c r="J93" s="140">
        <f t="shared" ca="1" si="9"/>
        <v>3172.9912884105743</v>
      </c>
    </row>
    <row r="94" spans="6:10">
      <c r="F94" s="38">
        <f t="shared" si="5"/>
        <v>86</v>
      </c>
      <c r="G94" s="139">
        <f t="shared" ca="1" si="6"/>
        <v>80.791690974038758</v>
      </c>
      <c r="H94" s="139">
        <f t="shared" ca="1" si="7"/>
        <v>21.153275256070486</v>
      </c>
      <c r="I94" s="139">
        <f t="shared" ca="1" si="8"/>
        <v>101.94496623010924</v>
      </c>
      <c r="J94" s="140">
        <f t="shared" ca="1" si="9"/>
        <v>3092.1995974365354</v>
      </c>
    </row>
    <row r="95" spans="6:10">
      <c r="F95" s="38">
        <f t="shared" si="5"/>
        <v>87</v>
      </c>
      <c r="G95" s="139">
        <f t="shared" ca="1" si="6"/>
        <v>81.330302247199029</v>
      </c>
      <c r="H95" s="139">
        <f t="shared" ca="1" si="7"/>
        <v>20.614663982910226</v>
      </c>
      <c r="I95" s="139">
        <f t="shared" ca="1" si="8"/>
        <v>101.94496623010924</v>
      </c>
      <c r="J95" s="140">
        <f t="shared" ca="1" si="9"/>
        <v>3010.8692951893363</v>
      </c>
    </row>
    <row r="96" spans="6:10">
      <c r="F96" s="38">
        <f t="shared" si="5"/>
        <v>88</v>
      </c>
      <c r="G96" s="139">
        <f t="shared" ca="1" si="6"/>
        <v>81.872504262180342</v>
      </c>
      <c r="H96" s="139">
        <f t="shared" ca="1" si="7"/>
        <v>20.072461967928902</v>
      </c>
      <c r="I96" s="139">
        <f t="shared" ca="1" si="8"/>
        <v>101.94496623010924</v>
      </c>
      <c r="J96" s="140">
        <f t="shared" ca="1" si="9"/>
        <v>2928.9967909271559</v>
      </c>
    </row>
    <row r="97" spans="6:10">
      <c r="F97" s="38">
        <f t="shared" si="5"/>
        <v>89</v>
      </c>
      <c r="G97" s="139">
        <f t="shared" ca="1" si="6"/>
        <v>82.418320957261543</v>
      </c>
      <c r="H97" s="139">
        <f t="shared" ca="1" si="7"/>
        <v>19.526645272847698</v>
      </c>
      <c r="I97" s="139">
        <f t="shared" ca="1" si="8"/>
        <v>101.94496623010924</v>
      </c>
      <c r="J97" s="140">
        <f t="shared" ca="1" si="9"/>
        <v>2846.5784699698943</v>
      </c>
    </row>
    <row r="98" spans="6:10">
      <c r="F98" s="38">
        <f t="shared" si="5"/>
        <v>90</v>
      </c>
      <c r="G98" s="139">
        <f t="shared" ca="1" si="6"/>
        <v>82.967776430309954</v>
      </c>
      <c r="H98" s="139">
        <f t="shared" ca="1" si="7"/>
        <v>18.977189799799291</v>
      </c>
      <c r="I98" s="139">
        <f t="shared" ca="1" si="8"/>
        <v>101.94496623010924</v>
      </c>
      <c r="J98" s="140">
        <f t="shared" ca="1" si="9"/>
        <v>2763.6106935395842</v>
      </c>
    </row>
    <row r="99" spans="6:10">
      <c r="F99" s="38">
        <f t="shared" si="5"/>
        <v>91</v>
      </c>
      <c r="G99" s="139">
        <f t="shared" ca="1" si="6"/>
        <v>83.520894939845348</v>
      </c>
      <c r="H99" s="139">
        <f t="shared" ca="1" si="7"/>
        <v>18.424071290263889</v>
      </c>
      <c r="I99" s="139">
        <f t="shared" ca="1" si="8"/>
        <v>101.94496623010924</v>
      </c>
      <c r="J99" s="140">
        <f t="shared" ca="1" si="9"/>
        <v>2680.089798599739</v>
      </c>
    </row>
    <row r="100" spans="6:10">
      <c r="F100" s="38">
        <f t="shared" si="5"/>
        <v>92</v>
      </c>
      <c r="G100" s="139">
        <f t="shared" ca="1" si="6"/>
        <v>84.077700906111005</v>
      </c>
      <c r="H100" s="139">
        <f t="shared" ca="1" si="7"/>
        <v>17.86726532399825</v>
      </c>
      <c r="I100" s="139">
        <f t="shared" ca="1" si="8"/>
        <v>101.94496623010924</v>
      </c>
      <c r="J100" s="140">
        <f t="shared" ca="1" si="9"/>
        <v>2596.0120976936278</v>
      </c>
    </row>
    <row r="101" spans="6:10">
      <c r="F101" s="38">
        <f t="shared" si="5"/>
        <v>93</v>
      </c>
      <c r="G101" s="139">
        <f t="shared" ca="1" si="6"/>
        <v>84.638218912151729</v>
      </c>
      <c r="H101" s="139">
        <f t="shared" ca="1" si="7"/>
        <v>17.306747317957512</v>
      </c>
      <c r="I101" s="139">
        <f t="shared" ca="1" si="8"/>
        <v>101.94496623010924</v>
      </c>
      <c r="J101" s="140">
        <f t="shared" ca="1" si="9"/>
        <v>2511.3738787814759</v>
      </c>
    </row>
    <row r="102" spans="6:10">
      <c r="F102" s="38">
        <f t="shared" si="5"/>
        <v>94</v>
      </c>
      <c r="G102" s="139">
        <f t="shared" ca="1" si="6"/>
        <v>85.202473704899418</v>
      </c>
      <c r="H102" s="139">
        <f t="shared" ca="1" si="7"/>
        <v>16.742492525209833</v>
      </c>
      <c r="I102" s="139">
        <f t="shared" ca="1" si="8"/>
        <v>101.94496623010924</v>
      </c>
      <c r="J102" s="140">
        <f t="shared" ca="1" si="9"/>
        <v>2426.1714050765763</v>
      </c>
    </row>
    <row r="103" spans="6:10">
      <c r="F103" s="38">
        <f t="shared" si="5"/>
        <v>95</v>
      </c>
      <c r="G103" s="139">
        <f t="shared" ca="1" si="6"/>
        <v>85.770490196265413</v>
      </c>
      <c r="H103" s="139">
        <f t="shared" ca="1" si="7"/>
        <v>16.174476033843842</v>
      </c>
      <c r="I103" s="139">
        <f t="shared" ca="1" si="8"/>
        <v>101.94496623010924</v>
      </c>
      <c r="J103" s="140">
        <f t="shared" ca="1" si="9"/>
        <v>2340.4009148803111</v>
      </c>
    </row>
    <row r="104" spans="6:10">
      <c r="F104" s="38">
        <f t="shared" si="5"/>
        <v>96</v>
      </c>
      <c r="G104" s="139">
        <f t="shared" ca="1" si="6"/>
        <v>86.342293464240512</v>
      </c>
      <c r="H104" s="139">
        <f t="shared" ca="1" si="7"/>
        <v>15.602672765868736</v>
      </c>
      <c r="I104" s="139">
        <f t="shared" ca="1" si="8"/>
        <v>101.94496623010924</v>
      </c>
      <c r="J104" s="140">
        <f t="shared" ca="1" si="9"/>
        <v>2254.0586214160708</v>
      </c>
    </row>
    <row r="105" spans="6:10">
      <c r="F105" s="38">
        <f t="shared" si="5"/>
        <v>97</v>
      </c>
      <c r="G105" s="139">
        <f t="shared" ca="1" si="6"/>
        <v>86.917908754002113</v>
      </c>
      <c r="H105" s="139">
        <f t="shared" ca="1" si="7"/>
        <v>15.027057476107133</v>
      </c>
      <c r="I105" s="139">
        <f t="shared" ca="1" si="8"/>
        <v>101.94496623010924</v>
      </c>
      <c r="J105" s="140">
        <f t="shared" ca="1" si="9"/>
        <v>2167.1407126620688</v>
      </c>
    </row>
    <row r="106" spans="6:10">
      <c r="F106" s="38">
        <f t="shared" si="5"/>
        <v>98</v>
      </c>
      <c r="G106" s="139">
        <f t="shared" ca="1" si="6"/>
        <v>87.497361479028783</v>
      </c>
      <c r="H106" s="139">
        <f t="shared" ca="1" si="7"/>
        <v>14.447604751080451</v>
      </c>
      <c r="I106" s="139">
        <f t="shared" ca="1" si="8"/>
        <v>101.94496623010924</v>
      </c>
      <c r="J106" s="140">
        <f t="shared" ca="1" si="9"/>
        <v>2079.6433511830401</v>
      </c>
    </row>
    <row r="107" spans="6:10">
      <c r="F107" s="38">
        <f t="shared" si="5"/>
        <v>99</v>
      </c>
      <c r="G107" s="139">
        <f t="shared" ca="1" si="6"/>
        <v>88.08067722222232</v>
      </c>
      <c r="H107" s="139">
        <f t="shared" ca="1" si="7"/>
        <v>13.864289007886928</v>
      </c>
      <c r="I107" s="139">
        <f t="shared" ca="1" si="8"/>
        <v>101.94496623010924</v>
      </c>
      <c r="J107" s="140">
        <f t="shared" ca="1" si="9"/>
        <v>1991.5626739608178</v>
      </c>
    </row>
    <row r="108" spans="6:10">
      <c r="F108" s="38">
        <f t="shared" si="5"/>
        <v>100</v>
      </c>
      <c r="G108" s="139">
        <f t="shared" ca="1" si="6"/>
        <v>88.667881737037135</v>
      </c>
      <c r="H108" s="139">
        <f t="shared" ca="1" si="7"/>
        <v>13.277084493072111</v>
      </c>
      <c r="I108" s="139">
        <f t="shared" ca="1" si="8"/>
        <v>101.94496623010924</v>
      </c>
      <c r="J108" s="140">
        <f t="shared" ca="1" si="9"/>
        <v>1902.8947922237808</v>
      </c>
    </row>
    <row r="109" spans="6:10">
      <c r="F109" s="38">
        <f t="shared" si="5"/>
        <v>101</v>
      </c>
      <c r="G109" s="139">
        <f t="shared" ca="1" si="6"/>
        <v>89.259000948617384</v>
      </c>
      <c r="H109" s="139">
        <f t="shared" ca="1" si="7"/>
        <v>12.685965281491864</v>
      </c>
      <c r="I109" s="139">
        <f t="shared" ca="1" si="8"/>
        <v>101.94496623010924</v>
      </c>
      <c r="J109" s="140">
        <f t="shared" ca="1" si="9"/>
        <v>1813.6357912751635</v>
      </c>
    </row>
    <row r="110" spans="6:10">
      <c r="F110" s="38">
        <f t="shared" si="5"/>
        <v>102</v>
      </c>
      <c r="G110" s="139">
        <f t="shared" ca="1" si="6"/>
        <v>89.854060954941488</v>
      </c>
      <c r="H110" s="139">
        <f t="shared" ca="1" si="7"/>
        <v>12.090905275167747</v>
      </c>
      <c r="I110" s="139">
        <f t="shared" ca="1" si="8"/>
        <v>101.94496623010924</v>
      </c>
      <c r="J110" s="140">
        <f t="shared" ca="1" si="9"/>
        <v>1723.7817303202219</v>
      </c>
    </row>
    <row r="111" spans="6:10">
      <c r="F111" s="38">
        <f t="shared" si="5"/>
        <v>103</v>
      </c>
      <c r="G111" s="139">
        <f t="shared" ca="1" si="6"/>
        <v>90.453088027974445</v>
      </c>
      <c r="H111" s="139">
        <f t="shared" ca="1" si="7"/>
        <v>11.491878202134805</v>
      </c>
      <c r="I111" s="139">
        <f t="shared" ca="1" si="8"/>
        <v>101.94496623010924</v>
      </c>
      <c r="J111" s="140">
        <f t="shared" ca="1" si="9"/>
        <v>1633.3286422922474</v>
      </c>
    </row>
    <row r="112" spans="6:10">
      <c r="F112" s="38">
        <f t="shared" si="5"/>
        <v>104</v>
      </c>
      <c r="G112" s="139">
        <f t="shared" ca="1" si="6"/>
        <v>91.056108614827608</v>
      </c>
      <c r="H112" s="139">
        <f t="shared" ca="1" si="7"/>
        <v>10.888857615281641</v>
      </c>
      <c r="I112" s="139">
        <f t="shared" ca="1" si="8"/>
        <v>101.94496623010924</v>
      </c>
      <c r="J112" s="140">
        <f t="shared" ca="1" si="9"/>
        <v>1542.2725336774199</v>
      </c>
    </row>
    <row r="113" spans="6:10">
      <c r="F113" s="38">
        <f t="shared" si="5"/>
        <v>105</v>
      </c>
      <c r="G113" s="139">
        <f t="shared" ca="1" si="6"/>
        <v>91.663149338926459</v>
      </c>
      <c r="H113" s="139">
        <f t="shared" ca="1" si="7"/>
        <v>10.281816891182791</v>
      </c>
      <c r="I113" s="139">
        <f t="shared" ca="1" si="8"/>
        <v>101.94496623010924</v>
      </c>
      <c r="J113" s="140">
        <f t="shared" ca="1" si="9"/>
        <v>1450.6093843384936</v>
      </c>
    </row>
    <row r="114" spans="6:10">
      <c r="F114" s="38">
        <f t="shared" si="5"/>
        <v>106</v>
      </c>
      <c r="G114" s="139">
        <f t="shared" ca="1" si="6"/>
        <v>92.274237001185952</v>
      </c>
      <c r="H114" s="139">
        <f t="shared" ca="1" si="7"/>
        <v>9.67072922892328</v>
      </c>
      <c r="I114" s="139">
        <f t="shared" ca="1" si="8"/>
        <v>101.94496623010924</v>
      </c>
      <c r="J114" s="140">
        <f t="shared" ca="1" si="9"/>
        <v>1358.3351473373077</v>
      </c>
    </row>
    <row r="115" spans="6:10">
      <c r="F115" s="38">
        <f t="shared" si="5"/>
        <v>107</v>
      </c>
      <c r="G115" s="139">
        <f t="shared" ca="1" si="6"/>
        <v>92.889398581193873</v>
      </c>
      <c r="H115" s="139">
        <f t="shared" ca="1" si="7"/>
        <v>9.0555676489153747</v>
      </c>
      <c r="I115" s="139">
        <f t="shared" ca="1" si="8"/>
        <v>101.94496623010924</v>
      </c>
      <c r="J115" s="140">
        <f t="shared" ca="1" si="9"/>
        <v>1265.4457487561137</v>
      </c>
    </row>
    <row r="116" spans="6:10">
      <c r="F116" s="38">
        <f t="shared" ref="F116:F128" si="10">F115+1</f>
        <v>108</v>
      </c>
      <c r="G116" s="139">
        <f t="shared" ca="1" si="6"/>
        <v>93.508661238401828</v>
      </c>
      <c r="H116" s="139">
        <f t="shared" ca="1" si="7"/>
        <v>8.4363049917074147</v>
      </c>
      <c r="I116" s="139">
        <f t="shared" ca="1" si="8"/>
        <v>101.94496623010924</v>
      </c>
      <c r="J116" s="140">
        <f t="shared" ca="1" si="9"/>
        <v>1171.9370875177119</v>
      </c>
    </row>
    <row r="117" spans="6:10">
      <c r="F117" s="38">
        <f t="shared" si="10"/>
        <v>109</v>
      </c>
      <c r="G117" s="139">
        <f t="shared" ca="1" si="6"/>
        <v>94.132052313324508</v>
      </c>
      <c r="H117" s="139">
        <f t="shared" ca="1" si="7"/>
        <v>7.8129139167847361</v>
      </c>
      <c r="I117" s="139">
        <f t="shared" ca="1" si="8"/>
        <v>101.94496623010924</v>
      </c>
      <c r="J117" s="140">
        <f t="shared" ca="1" si="9"/>
        <v>1077.8050352043874</v>
      </c>
    </row>
    <row r="118" spans="6:10">
      <c r="F118" s="38">
        <f t="shared" si="10"/>
        <v>110</v>
      </c>
      <c r="G118" s="139">
        <f t="shared" ca="1" si="6"/>
        <v>94.759599328746674</v>
      </c>
      <c r="H118" s="139">
        <f t="shared" ca="1" si="7"/>
        <v>7.1853669013625723</v>
      </c>
      <c r="I118" s="139">
        <f t="shared" ca="1" si="8"/>
        <v>101.94496623010924</v>
      </c>
      <c r="J118" s="140">
        <f t="shared" ca="1" si="9"/>
        <v>983.04543587564081</v>
      </c>
    </row>
    <row r="119" spans="6:10">
      <c r="F119" s="38">
        <f t="shared" si="10"/>
        <v>111</v>
      </c>
      <c r="G119" s="139">
        <f t="shared" ca="1" si="6"/>
        <v>95.391329990938317</v>
      </c>
      <c r="H119" s="139">
        <f t="shared" ca="1" si="7"/>
        <v>6.5536362391709275</v>
      </c>
      <c r="I119" s="139">
        <f t="shared" ca="1" si="8"/>
        <v>101.94496623010924</v>
      </c>
      <c r="J119" s="140">
        <f t="shared" ca="1" si="9"/>
        <v>887.65410588470252</v>
      </c>
    </row>
    <row r="120" spans="6:10">
      <c r="F120" s="38">
        <f t="shared" si="10"/>
        <v>112</v>
      </c>
      <c r="G120" s="139">
        <f t="shared" ca="1" si="6"/>
        <v>96.027272190877909</v>
      </c>
      <c r="H120" s="139">
        <f t="shared" ca="1" si="7"/>
        <v>5.9176940392313391</v>
      </c>
      <c r="I120" s="139">
        <f t="shared" ca="1" si="8"/>
        <v>101.94496623010924</v>
      </c>
      <c r="J120" s="140">
        <f t="shared" ca="1" si="9"/>
        <v>791.62683369382466</v>
      </c>
    </row>
    <row r="121" spans="6:10">
      <c r="F121" s="38">
        <f t="shared" si="10"/>
        <v>113</v>
      </c>
      <c r="G121" s="139">
        <f t="shared" ca="1" si="6"/>
        <v>96.667454005483762</v>
      </c>
      <c r="H121" s="139">
        <f t="shared" ca="1" si="7"/>
        <v>5.277512224625486</v>
      </c>
      <c r="I121" s="139">
        <f t="shared" ca="1" si="8"/>
        <v>101.94496623010924</v>
      </c>
      <c r="J121" s="140">
        <f t="shared" ca="1" si="9"/>
        <v>694.95937968834096</v>
      </c>
    </row>
    <row r="122" spans="6:10">
      <c r="F122" s="38">
        <f t="shared" si="10"/>
        <v>114</v>
      </c>
      <c r="G122" s="139">
        <f t="shared" ca="1" si="6"/>
        <v>97.311903698853655</v>
      </c>
      <c r="H122" s="139">
        <f t="shared" ca="1" si="7"/>
        <v>4.6330625312555949</v>
      </c>
      <c r="I122" s="139">
        <f t="shared" ca="1" si="8"/>
        <v>101.94496623010924</v>
      </c>
      <c r="J122" s="140">
        <f t="shared" ca="1" si="9"/>
        <v>597.64747598948725</v>
      </c>
    </row>
    <row r="123" spans="6:10">
      <c r="F123" s="38">
        <f t="shared" si="10"/>
        <v>115</v>
      </c>
      <c r="G123" s="139">
        <f t="shared" ca="1" si="6"/>
        <v>97.960649723512688</v>
      </c>
      <c r="H123" s="139">
        <f t="shared" ca="1" si="7"/>
        <v>3.9843165065965707</v>
      </c>
      <c r="I123" s="139">
        <f t="shared" ca="1" si="8"/>
        <v>101.94496623010924</v>
      </c>
      <c r="J123" s="140">
        <f t="shared" ca="1" si="9"/>
        <v>499.68682626597456</v>
      </c>
    </row>
    <row r="124" spans="6:10">
      <c r="F124" s="38">
        <f t="shared" si="10"/>
        <v>116</v>
      </c>
      <c r="G124" s="139">
        <f t="shared" ca="1" si="6"/>
        <v>98.613720721669438</v>
      </c>
      <c r="H124" s="139">
        <f t="shared" ca="1" si="7"/>
        <v>3.3312455084398191</v>
      </c>
      <c r="I124" s="139">
        <f t="shared" ca="1" si="8"/>
        <v>101.94496623010924</v>
      </c>
      <c r="J124" s="140">
        <f t="shared" ca="1" si="9"/>
        <v>401.07310554430512</v>
      </c>
    </row>
    <row r="125" spans="6:10">
      <c r="F125" s="38">
        <f t="shared" si="10"/>
        <v>117</v>
      </c>
      <c r="G125" s="139">
        <f t="shared" ca="1" si="6"/>
        <v>99.271145526480566</v>
      </c>
      <c r="H125" s="139">
        <f t="shared" ca="1" si="7"/>
        <v>2.6738207036286896</v>
      </c>
      <c r="I125" s="139">
        <f t="shared" ca="1" si="8"/>
        <v>101.94496623010924</v>
      </c>
      <c r="J125" s="140">
        <f t="shared" ca="1" si="9"/>
        <v>301.80196001782457</v>
      </c>
    </row>
    <row r="126" spans="6:10">
      <c r="F126" s="38">
        <f t="shared" si="10"/>
        <v>118</v>
      </c>
      <c r="G126" s="139">
        <f t="shared" ca="1" si="6"/>
        <v>99.932953163323774</v>
      </c>
      <c r="H126" s="139">
        <f t="shared" ca="1" si="7"/>
        <v>2.0120130667854856</v>
      </c>
      <c r="I126" s="139">
        <f t="shared" ca="1" si="8"/>
        <v>101.94496623010924</v>
      </c>
      <c r="J126" s="140">
        <f t="shared" ca="1" si="9"/>
        <v>201.86900685450081</v>
      </c>
    </row>
    <row r="127" spans="6:10">
      <c r="F127" s="38">
        <f t="shared" si="10"/>
        <v>119</v>
      </c>
      <c r="G127" s="139">
        <f t="shared" ca="1" si="6"/>
        <v>100.59917285107925</v>
      </c>
      <c r="H127" s="139">
        <f t="shared" ca="1" si="7"/>
        <v>1.3457933790299936</v>
      </c>
      <c r="I127" s="139">
        <f t="shared" ca="1" si="8"/>
        <v>101.94496623010924</v>
      </c>
      <c r="J127" s="140">
        <f t="shared" ca="1" si="9"/>
        <v>101.26983400342156</v>
      </c>
    </row>
    <row r="128" spans="6:10">
      <c r="F128" s="39">
        <f t="shared" si="10"/>
        <v>120</v>
      </c>
      <c r="G128" s="142">
        <f t="shared" ca="1" si="6"/>
        <v>101.26983400341977</v>
      </c>
      <c r="H128" s="142">
        <f t="shared" ca="1" si="7"/>
        <v>0.67513222668946515</v>
      </c>
      <c r="I128" s="142">
        <f t="shared" ca="1" si="8"/>
        <v>101.94496623010924</v>
      </c>
      <c r="J128" s="143">
        <f t="shared" ca="1" si="9"/>
        <v>1.7905676941154525E-12</v>
      </c>
    </row>
  </sheetData>
  <pageMargins left="0.7" right="0.7" top="0.75" bottom="0.75" header="0.3" footer="0.3"/>
  <pageSetup scale="72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7" tint="0.39997558519241921"/>
    <pageSetUpPr fitToPage="1"/>
  </sheetPr>
  <dimension ref="A1:Q53"/>
  <sheetViews>
    <sheetView showGridLines="0" zoomScale="80" zoomScaleNormal="80" workbookViewId="0">
      <selection activeCell="P34" sqref="P34"/>
    </sheetView>
  </sheetViews>
  <sheetFormatPr defaultRowHeight="12"/>
  <cols>
    <col min="1" max="3" width="3" style="4" customWidth="1"/>
    <col min="4" max="4" width="22.7109375" customWidth="1"/>
    <col min="5" max="16" width="10.7109375" customWidth="1"/>
    <col min="17" max="17" width="15.7109375" style="13" customWidth="1"/>
  </cols>
  <sheetData>
    <row r="1" spans="1:17" ht="15.75">
      <c r="A1" s="3" t="s">
        <v>39</v>
      </c>
    </row>
    <row r="2" spans="1:17" ht="15.75">
      <c r="A2" s="3" t="s">
        <v>42</v>
      </c>
    </row>
    <row r="3" spans="1:17" ht="12.75" customHeight="1">
      <c r="A3" s="1"/>
      <c r="B3" s="1"/>
      <c r="C3" s="1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</row>
    <row r="4" spans="1:17" ht="12.75" customHeight="1">
      <c r="A4" s="1"/>
      <c r="B4" s="1"/>
      <c r="C4" s="1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</row>
    <row r="5" spans="1:17" ht="12.75" customHeight="1">
      <c r="A5" s="1"/>
      <c r="B5" s="1"/>
      <c r="C5" s="1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</row>
    <row r="6" spans="1:17" ht="12.75" customHeight="1" thickBot="1">
      <c r="A6" s="1"/>
      <c r="B6" s="1"/>
      <c r="C6" s="1"/>
      <c r="D6" s="14"/>
      <c r="E6" s="16" t="str">
        <f>'6. Projected Sales'!H6</f>
        <v>January</v>
      </c>
      <c r="F6" s="16" t="str">
        <f>'6. Projected Sales'!I6</f>
        <v>February</v>
      </c>
      <c r="G6" s="16" t="str">
        <f>'6. Projected Sales'!J6</f>
        <v>March</v>
      </c>
      <c r="H6" s="16" t="str">
        <f>'6. Projected Sales'!K6</f>
        <v>April</v>
      </c>
      <c r="I6" s="16" t="str">
        <f>'6. Projected Sales'!L6</f>
        <v>May</v>
      </c>
      <c r="J6" s="16" t="str">
        <f>'6. Projected Sales'!M6</f>
        <v>June</v>
      </c>
      <c r="K6" s="16" t="str">
        <f>'6. Projected Sales'!N6</f>
        <v>July</v>
      </c>
      <c r="L6" s="16" t="str">
        <f>'6. Projected Sales'!O6</f>
        <v>August</v>
      </c>
      <c r="M6" s="16" t="str">
        <f>'6. Projected Sales'!P6</f>
        <v>September</v>
      </c>
      <c r="N6" s="16" t="str">
        <f>'6. Projected Sales'!Q6</f>
        <v>October</v>
      </c>
      <c r="O6" s="16" t="str">
        <f>'6. Projected Sales'!R6</f>
        <v>November</v>
      </c>
      <c r="P6" s="16" t="str">
        <f>'6. Projected Sales'!S6</f>
        <v>December</v>
      </c>
      <c r="Q6" s="16" t="s">
        <v>0</v>
      </c>
    </row>
    <row r="7" spans="1:17" ht="12.75" customHeight="1" thickTop="1">
      <c r="A7" s="1"/>
      <c r="B7" s="1"/>
      <c r="C7" s="1"/>
      <c r="D7" s="14"/>
      <c r="E7" s="67">
        <v>1</v>
      </c>
      <c r="F7" s="67">
        <f>+E7+1</f>
        <v>2</v>
      </c>
      <c r="G7" s="67">
        <f t="shared" ref="G7:P7" si="0">+F7+1</f>
        <v>3</v>
      </c>
      <c r="H7" s="67">
        <f t="shared" si="0"/>
        <v>4</v>
      </c>
      <c r="I7" s="67">
        <f t="shared" si="0"/>
        <v>5</v>
      </c>
      <c r="J7" s="67">
        <f t="shared" si="0"/>
        <v>6</v>
      </c>
      <c r="K7" s="67">
        <f t="shared" si="0"/>
        <v>7</v>
      </c>
      <c r="L7" s="67">
        <f t="shared" si="0"/>
        <v>8</v>
      </c>
      <c r="M7" s="67">
        <f t="shared" si="0"/>
        <v>9</v>
      </c>
      <c r="N7" s="67">
        <f t="shared" si="0"/>
        <v>10</v>
      </c>
      <c r="O7" s="67">
        <f t="shared" si="0"/>
        <v>11</v>
      </c>
      <c r="P7" s="67">
        <f t="shared" si="0"/>
        <v>12</v>
      </c>
    </row>
    <row r="8" spans="1:17" ht="12.75" customHeight="1">
      <c r="A8" s="1" t="s">
        <v>24</v>
      </c>
      <c r="B8" s="1"/>
      <c r="C8" s="1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</row>
    <row r="9" spans="1:17" ht="12.75" customHeight="1">
      <c r="A9" s="1"/>
      <c r="B9" s="1" t="str">
        <f>'6. Projected Sales'!A8</f>
        <v>Regular Lemonade</v>
      </c>
      <c r="C9" s="1"/>
      <c r="D9" s="14"/>
      <c r="E9" s="68">
        <f>'6. Projected Sales'!$E$9*'6. Projected Sales'!H14</f>
        <v>26</v>
      </c>
      <c r="F9" s="68">
        <f>'6. Projected Sales'!$E$9*'6. Projected Sales'!I14</f>
        <v>30</v>
      </c>
      <c r="G9" s="68">
        <f>'6. Projected Sales'!$E$9*'6. Projected Sales'!J14</f>
        <v>60</v>
      </c>
      <c r="H9" s="68">
        <f>'6. Projected Sales'!$E$9*'6. Projected Sales'!K14</f>
        <v>122</v>
      </c>
      <c r="I9" s="68">
        <f>'6. Projected Sales'!$E$9*'6. Projected Sales'!L14</f>
        <v>680</v>
      </c>
      <c r="J9" s="68">
        <f>'6. Projected Sales'!$E$9*'6. Projected Sales'!M14</f>
        <v>1114</v>
      </c>
      <c r="K9" s="68">
        <f>'6. Projected Sales'!$E$9*'6. Projected Sales'!N14</f>
        <v>1362</v>
      </c>
      <c r="L9" s="68">
        <f>'6. Projected Sales'!$E$9*'6. Projected Sales'!O14</f>
        <v>1362</v>
      </c>
      <c r="M9" s="68">
        <f>'6. Projected Sales'!$E$9*'6. Projected Sales'!P14</f>
        <v>1050</v>
      </c>
      <c r="N9" s="68">
        <f>'6. Projected Sales'!$E$9*'6. Projected Sales'!Q14</f>
        <v>248</v>
      </c>
      <c r="O9" s="68">
        <f>'6. Projected Sales'!$E$9*'6. Projected Sales'!R14</f>
        <v>98</v>
      </c>
      <c r="P9" s="68">
        <f>'6. Projected Sales'!$E$9*'6. Projected Sales'!S14</f>
        <v>56</v>
      </c>
      <c r="Q9" s="69">
        <f>SUM(E9:P9)</f>
        <v>6208</v>
      </c>
    </row>
    <row r="10" spans="1:17" ht="12.75" customHeight="1" thickBot="1">
      <c r="A10" s="1"/>
      <c r="B10" s="1" t="str">
        <f>'6. Projected Sales'!A20</f>
        <v>Pink Lemonade</v>
      </c>
      <c r="C10" s="1"/>
      <c r="D10" s="14"/>
      <c r="E10" s="70">
        <f>'6. Projected Sales'!$E$21*'6. Projected Sales'!H26</f>
        <v>13.5</v>
      </c>
      <c r="F10" s="70">
        <f>'6. Projected Sales'!$E$21*'6. Projected Sales'!I26</f>
        <v>11.25</v>
      </c>
      <c r="G10" s="70">
        <f>'6. Projected Sales'!$E$21*'6. Projected Sales'!J26</f>
        <v>24.75</v>
      </c>
      <c r="H10" s="70">
        <f>'6. Projected Sales'!$E$21*'6. Projected Sales'!K26</f>
        <v>49.5</v>
      </c>
      <c r="I10" s="70">
        <f>'6. Projected Sales'!$E$21*'6. Projected Sales'!L26</f>
        <v>265.5</v>
      </c>
      <c r="J10" s="70">
        <f>'6. Projected Sales'!$E$21*'6. Projected Sales'!M26</f>
        <v>436.5</v>
      </c>
      <c r="K10" s="70">
        <f>'6. Projected Sales'!$E$21*'6. Projected Sales'!N26</f>
        <v>533.25</v>
      </c>
      <c r="L10" s="70">
        <f>'6. Projected Sales'!$E$21*'6. Projected Sales'!O26</f>
        <v>533.25</v>
      </c>
      <c r="M10" s="70">
        <f>'6. Projected Sales'!$E$21*'6. Projected Sales'!P26</f>
        <v>414</v>
      </c>
      <c r="N10" s="70">
        <f>'6. Projected Sales'!$E$21*'6. Projected Sales'!Q26</f>
        <v>96.75</v>
      </c>
      <c r="O10" s="70">
        <f>'6. Projected Sales'!$E$21*'6. Projected Sales'!R26</f>
        <v>24.75</v>
      </c>
      <c r="P10" s="70">
        <f>'6. Projected Sales'!$E$21*'6. Projected Sales'!S26</f>
        <v>24.75</v>
      </c>
      <c r="Q10" s="71">
        <f>SUM(E10:P10)</f>
        <v>2427.75</v>
      </c>
    </row>
    <row r="11" spans="1:17" ht="12.75" customHeight="1">
      <c r="A11" s="1" t="s">
        <v>25</v>
      </c>
      <c r="B11" s="1"/>
      <c r="C11" s="1"/>
      <c r="D11" s="14"/>
      <c r="E11" s="57">
        <f t="shared" ref="E11:Q11" si="1">SUM(E9:E10)</f>
        <v>39.5</v>
      </c>
      <c r="F11" s="57">
        <f t="shared" si="1"/>
        <v>41.25</v>
      </c>
      <c r="G11" s="57">
        <f t="shared" si="1"/>
        <v>84.75</v>
      </c>
      <c r="H11" s="57">
        <f t="shared" si="1"/>
        <v>171.5</v>
      </c>
      <c r="I11" s="57">
        <f t="shared" si="1"/>
        <v>945.5</v>
      </c>
      <c r="J11" s="57">
        <f t="shared" si="1"/>
        <v>1550.5</v>
      </c>
      <c r="K11" s="57">
        <f t="shared" si="1"/>
        <v>1895.25</v>
      </c>
      <c r="L11" s="57">
        <f t="shared" si="1"/>
        <v>1895.25</v>
      </c>
      <c r="M11" s="57">
        <f t="shared" si="1"/>
        <v>1464</v>
      </c>
      <c r="N11" s="57">
        <f t="shared" si="1"/>
        <v>344.75</v>
      </c>
      <c r="O11" s="57">
        <f t="shared" si="1"/>
        <v>122.75</v>
      </c>
      <c r="P11" s="57">
        <f t="shared" si="1"/>
        <v>80.75</v>
      </c>
      <c r="Q11" s="72">
        <f t="shared" si="1"/>
        <v>8635.75</v>
      </c>
    </row>
    <row r="12" spans="1:17" ht="12.75" customHeight="1">
      <c r="A12" s="1"/>
      <c r="B12" s="1"/>
      <c r="C12" s="1"/>
      <c r="D12" s="14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72"/>
    </row>
    <row r="13" spans="1:17" ht="12.75" customHeight="1">
      <c r="A13" s="1" t="s">
        <v>26</v>
      </c>
      <c r="B13" s="1"/>
      <c r="C13" s="1"/>
      <c r="D13" s="14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73"/>
    </row>
    <row r="14" spans="1:17" ht="12.75" customHeight="1">
      <c r="A14" s="1"/>
      <c r="B14" s="1" t="str">
        <f>B9</f>
        <v>Regular Lemonade</v>
      </c>
      <c r="C14" s="1"/>
      <c r="D14" s="14"/>
      <c r="E14" s="74">
        <f>'6. Projected Sales'!$E$10*'6. Projected Sales'!H14</f>
        <v>10.4</v>
      </c>
      <c r="F14" s="74">
        <f>'6. Projected Sales'!$E$10*'6. Projected Sales'!I14</f>
        <v>12</v>
      </c>
      <c r="G14" s="74">
        <f>'6. Projected Sales'!$E$10*'6. Projected Sales'!J14</f>
        <v>24</v>
      </c>
      <c r="H14" s="74">
        <f>'6. Projected Sales'!$E$10*'6. Projected Sales'!K14</f>
        <v>48.800000000000004</v>
      </c>
      <c r="I14" s="74">
        <f>'6. Projected Sales'!$E$10*'6. Projected Sales'!L14</f>
        <v>272</v>
      </c>
      <c r="J14" s="74">
        <f>'6. Projected Sales'!$E$10*'6. Projected Sales'!M14</f>
        <v>445.6</v>
      </c>
      <c r="K14" s="74">
        <f>'6. Projected Sales'!$E$10*'6. Projected Sales'!N14</f>
        <v>544.80000000000007</v>
      </c>
      <c r="L14" s="74">
        <f>'6. Projected Sales'!$E$10*'6. Projected Sales'!O14</f>
        <v>544.80000000000007</v>
      </c>
      <c r="M14" s="74">
        <f>'6. Projected Sales'!$E$10*'6. Projected Sales'!P14</f>
        <v>420</v>
      </c>
      <c r="N14" s="74">
        <f>'6. Projected Sales'!$E$10*'6. Projected Sales'!Q14</f>
        <v>99.2</v>
      </c>
      <c r="O14" s="74">
        <f>'6. Projected Sales'!$E$10*'6. Projected Sales'!R14</f>
        <v>39.200000000000003</v>
      </c>
      <c r="P14" s="74">
        <f>'6. Projected Sales'!$E$10*'6. Projected Sales'!S14</f>
        <v>22.400000000000002</v>
      </c>
      <c r="Q14" s="73">
        <f>SUM(E14:P14)</f>
        <v>2483.1999999999998</v>
      </c>
    </row>
    <row r="15" spans="1:17" ht="12.75" customHeight="1" thickBot="1">
      <c r="A15" s="1"/>
      <c r="B15" s="1" t="str">
        <f>B10</f>
        <v>Pink Lemonade</v>
      </c>
      <c r="C15" s="1"/>
      <c r="D15" s="14"/>
      <c r="E15" s="75">
        <f>'6. Projected Sales'!$E$22*'6. Projected Sales'!H26</f>
        <v>3.96</v>
      </c>
      <c r="F15" s="75">
        <f>'6. Projected Sales'!$E$22*'6. Projected Sales'!I26</f>
        <v>3.3000000000000003</v>
      </c>
      <c r="G15" s="75">
        <f>'6. Projected Sales'!$E$22*'6. Projected Sales'!J26</f>
        <v>7.2600000000000007</v>
      </c>
      <c r="H15" s="75">
        <f>'6. Projected Sales'!$E$22*'6. Projected Sales'!K26</f>
        <v>14.520000000000001</v>
      </c>
      <c r="I15" s="75">
        <f>'6. Projected Sales'!$E$22*'6. Projected Sales'!L26</f>
        <v>77.88000000000001</v>
      </c>
      <c r="J15" s="75">
        <f>'6. Projected Sales'!$E$22*'6. Projected Sales'!M26</f>
        <v>128.04</v>
      </c>
      <c r="K15" s="75">
        <f>'6. Projected Sales'!$E$22*'6. Projected Sales'!N26</f>
        <v>156.42000000000002</v>
      </c>
      <c r="L15" s="75">
        <f>'6. Projected Sales'!$E$22*'6. Projected Sales'!O26</f>
        <v>156.42000000000002</v>
      </c>
      <c r="M15" s="75">
        <f>'6. Projected Sales'!$E$22*'6. Projected Sales'!P26</f>
        <v>121.44000000000001</v>
      </c>
      <c r="N15" s="75">
        <f>'6. Projected Sales'!$E$22*'6. Projected Sales'!Q26</f>
        <v>28.380000000000003</v>
      </c>
      <c r="O15" s="75">
        <f>'6. Projected Sales'!$E$22*'6. Projected Sales'!R26</f>
        <v>7.2600000000000007</v>
      </c>
      <c r="P15" s="75">
        <f>'6. Projected Sales'!$E$22*'6. Projected Sales'!S26</f>
        <v>7.2600000000000007</v>
      </c>
      <c r="Q15" s="76">
        <f>SUM(E15:P15)</f>
        <v>712.14</v>
      </c>
    </row>
    <row r="16" spans="1:17" ht="12.75" customHeight="1">
      <c r="A16" s="1" t="s">
        <v>27</v>
      </c>
      <c r="B16" s="1"/>
      <c r="C16" s="1"/>
      <c r="D16" s="14"/>
      <c r="E16" s="56">
        <f t="shared" ref="E16:Q16" si="2">SUM(E14:E15)</f>
        <v>14.36</v>
      </c>
      <c r="F16" s="56">
        <f t="shared" si="2"/>
        <v>15.3</v>
      </c>
      <c r="G16" s="56">
        <f t="shared" si="2"/>
        <v>31.26</v>
      </c>
      <c r="H16" s="56">
        <f t="shared" si="2"/>
        <v>63.320000000000007</v>
      </c>
      <c r="I16" s="56">
        <f t="shared" si="2"/>
        <v>349.88</v>
      </c>
      <c r="J16" s="56">
        <f t="shared" si="2"/>
        <v>573.64</v>
      </c>
      <c r="K16" s="56">
        <f t="shared" si="2"/>
        <v>701.22</v>
      </c>
      <c r="L16" s="56">
        <f t="shared" si="2"/>
        <v>701.22</v>
      </c>
      <c r="M16" s="56">
        <f t="shared" si="2"/>
        <v>541.44000000000005</v>
      </c>
      <c r="N16" s="56">
        <f t="shared" si="2"/>
        <v>127.58000000000001</v>
      </c>
      <c r="O16" s="56">
        <f t="shared" si="2"/>
        <v>46.46</v>
      </c>
      <c r="P16" s="56">
        <f t="shared" si="2"/>
        <v>29.660000000000004</v>
      </c>
      <c r="Q16" s="73">
        <f t="shared" si="2"/>
        <v>3195.3399999999997</v>
      </c>
    </row>
    <row r="17" spans="1:17" ht="12.75" customHeight="1">
      <c r="A17" s="1"/>
      <c r="B17" s="1"/>
      <c r="C17" s="1"/>
      <c r="D17" s="14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72"/>
    </row>
    <row r="18" spans="1:17" ht="12.75" customHeight="1" thickBot="1">
      <c r="A18" s="1" t="s">
        <v>4</v>
      </c>
      <c r="B18" s="1"/>
      <c r="C18" s="1"/>
      <c r="D18" s="14"/>
      <c r="E18" s="77">
        <f t="shared" ref="E18:Q18" si="3">E11-E16</f>
        <v>25.14</v>
      </c>
      <c r="F18" s="77">
        <f t="shared" si="3"/>
        <v>25.95</v>
      </c>
      <c r="G18" s="77">
        <f t="shared" si="3"/>
        <v>53.489999999999995</v>
      </c>
      <c r="H18" s="77">
        <f t="shared" si="3"/>
        <v>108.17999999999999</v>
      </c>
      <c r="I18" s="77">
        <f t="shared" si="3"/>
        <v>595.62</v>
      </c>
      <c r="J18" s="77">
        <f t="shared" si="3"/>
        <v>976.86</v>
      </c>
      <c r="K18" s="77">
        <f t="shared" si="3"/>
        <v>1194.03</v>
      </c>
      <c r="L18" s="77">
        <f t="shared" si="3"/>
        <v>1194.03</v>
      </c>
      <c r="M18" s="77">
        <f t="shared" si="3"/>
        <v>922.56</v>
      </c>
      <c r="N18" s="77">
        <f t="shared" si="3"/>
        <v>217.17</v>
      </c>
      <c r="O18" s="77">
        <f t="shared" si="3"/>
        <v>76.289999999999992</v>
      </c>
      <c r="P18" s="77">
        <f t="shared" si="3"/>
        <v>51.089999999999996</v>
      </c>
      <c r="Q18" s="71">
        <f t="shared" si="3"/>
        <v>5440.41</v>
      </c>
    </row>
    <row r="19" spans="1:17" ht="12.75" customHeight="1">
      <c r="A19" s="1"/>
      <c r="B19" s="1"/>
      <c r="C19" s="1"/>
      <c r="D19" s="14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73"/>
    </row>
    <row r="20" spans="1:17" ht="12.75" customHeight="1">
      <c r="A20" s="1" t="s">
        <v>12</v>
      </c>
      <c r="B20" s="1"/>
      <c r="C20" s="1"/>
      <c r="D20" s="14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73"/>
    </row>
    <row r="21" spans="1:17" ht="12.75" customHeight="1">
      <c r="A21" s="1"/>
      <c r="B21" s="1" t="s">
        <v>35</v>
      </c>
      <c r="C21" s="1"/>
      <c r="D21" s="14"/>
      <c r="E21" s="74">
        <f>+'7. Projected Payroll'!K10</f>
        <v>9</v>
      </c>
      <c r="F21" s="74">
        <f>+'7. Projected Payroll'!L10</f>
        <v>9</v>
      </c>
      <c r="G21" s="74">
        <f>+'7. Projected Payroll'!M10</f>
        <v>27</v>
      </c>
      <c r="H21" s="74">
        <f>+'7. Projected Payroll'!N10</f>
        <v>54</v>
      </c>
      <c r="I21" s="74">
        <f>+'7. Projected Payroll'!O10</f>
        <v>315</v>
      </c>
      <c r="J21" s="74">
        <f>+'7. Projected Payroll'!P10</f>
        <v>522</v>
      </c>
      <c r="K21" s="74">
        <f>+'7. Projected Payroll'!Q10</f>
        <v>639</v>
      </c>
      <c r="L21" s="74">
        <f>+'7. Projected Payroll'!R10</f>
        <v>639</v>
      </c>
      <c r="M21" s="74">
        <f>+'7. Projected Payroll'!S10</f>
        <v>486</v>
      </c>
      <c r="N21" s="74">
        <f>+'7. Projected Payroll'!T10</f>
        <v>108</v>
      </c>
      <c r="O21" s="74">
        <f>+'7. Projected Payroll'!U10</f>
        <v>36</v>
      </c>
      <c r="P21" s="74">
        <f>+'7. Projected Payroll'!V10</f>
        <v>27</v>
      </c>
      <c r="Q21" s="73">
        <f>SUM(E21:P21)</f>
        <v>2871</v>
      </c>
    </row>
    <row r="22" spans="1:17" ht="12.75" customHeight="1" thickBot="1">
      <c r="A22" s="1"/>
      <c r="B22" s="1" t="str">
        <f>'7. Projected Payroll'!A11</f>
        <v>Payroll Taxes</v>
      </c>
      <c r="C22" s="1"/>
      <c r="D22" s="14"/>
      <c r="E22" s="78">
        <f>+'7. Projected Payroll'!K11</f>
        <v>0.6885</v>
      </c>
      <c r="F22" s="78">
        <f>+'7. Projected Payroll'!L11</f>
        <v>0.6885</v>
      </c>
      <c r="G22" s="78">
        <f>+'7. Projected Payroll'!M11</f>
        <v>2.0655000000000001</v>
      </c>
      <c r="H22" s="78">
        <f>+'7. Projected Payroll'!N11</f>
        <v>4.1310000000000002</v>
      </c>
      <c r="I22" s="78">
        <f>+'7. Projected Payroll'!O11</f>
        <v>24.0975</v>
      </c>
      <c r="J22" s="78">
        <f>+'7. Projected Payroll'!P11</f>
        <v>39.933</v>
      </c>
      <c r="K22" s="78">
        <f>+'7. Projected Payroll'!Q11</f>
        <v>48.883499999999998</v>
      </c>
      <c r="L22" s="78">
        <f>+'7. Projected Payroll'!R11</f>
        <v>48.883499999999998</v>
      </c>
      <c r="M22" s="78">
        <f>+'7. Projected Payroll'!S11</f>
        <v>37.179000000000002</v>
      </c>
      <c r="N22" s="78">
        <f>+'7. Projected Payroll'!T11</f>
        <v>8.2620000000000005</v>
      </c>
      <c r="O22" s="78">
        <f>+'7. Projected Payroll'!U11</f>
        <v>2.754</v>
      </c>
      <c r="P22" s="78">
        <f>+'7. Projected Payroll'!V11</f>
        <v>2.0655000000000001</v>
      </c>
      <c r="Q22" s="76">
        <f>SUM(E22:P22)</f>
        <v>219.63149999999996</v>
      </c>
    </row>
    <row r="23" spans="1:17" ht="12.75" customHeight="1" collapsed="1">
      <c r="A23" s="1" t="s">
        <v>28</v>
      </c>
      <c r="B23" s="1"/>
      <c r="C23" s="1"/>
      <c r="D23" s="14"/>
      <c r="E23" s="56">
        <f t="shared" ref="E23:Q23" si="4">SUM(E21:E22)</f>
        <v>9.6884999999999994</v>
      </c>
      <c r="F23" s="56">
        <f t="shared" si="4"/>
        <v>9.6884999999999994</v>
      </c>
      <c r="G23" s="56">
        <f t="shared" si="4"/>
        <v>29.0655</v>
      </c>
      <c r="H23" s="56">
        <f t="shared" si="4"/>
        <v>58.131</v>
      </c>
      <c r="I23" s="56">
        <f t="shared" si="4"/>
        <v>339.09750000000003</v>
      </c>
      <c r="J23" s="56">
        <f t="shared" si="4"/>
        <v>561.93299999999999</v>
      </c>
      <c r="K23" s="56">
        <f t="shared" si="4"/>
        <v>687.88350000000003</v>
      </c>
      <c r="L23" s="56">
        <f t="shared" si="4"/>
        <v>687.88350000000003</v>
      </c>
      <c r="M23" s="56">
        <f t="shared" si="4"/>
        <v>523.17899999999997</v>
      </c>
      <c r="N23" s="56">
        <f t="shared" si="4"/>
        <v>116.262</v>
      </c>
      <c r="O23" s="56">
        <f t="shared" si="4"/>
        <v>38.753999999999998</v>
      </c>
      <c r="P23" s="56">
        <f t="shared" si="4"/>
        <v>29.0655</v>
      </c>
      <c r="Q23" s="73">
        <f t="shared" si="4"/>
        <v>3090.6315</v>
      </c>
    </row>
    <row r="24" spans="1:17" ht="12.75" customHeight="1">
      <c r="A24" s="1"/>
      <c r="B24" s="1"/>
      <c r="C24" s="1"/>
      <c r="D24" s="14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73"/>
    </row>
    <row r="25" spans="1:17" ht="12.75" customHeight="1">
      <c r="A25" s="1" t="s">
        <v>62</v>
      </c>
      <c r="B25" s="1"/>
      <c r="C25" s="1"/>
      <c r="D25" s="14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73"/>
    </row>
    <row r="26" spans="1:17" ht="12.75" customHeight="1">
      <c r="A26" s="1"/>
      <c r="B26" s="1" t="s">
        <v>18</v>
      </c>
      <c r="C26" s="1"/>
      <c r="D26" s="14"/>
      <c r="E26" s="74">
        <f>+'8. Projected Oper. Expenses'!$G10</f>
        <v>15</v>
      </c>
      <c r="F26" s="79">
        <f>+'8. Projected Oper. Expenses'!$G10</f>
        <v>15</v>
      </c>
      <c r="G26" s="79">
        <f>+'8. Projected Oper. Expenses'!$G10</f>
        <v>15</v>
      </c>
      <c r="H26" s="79">
        <f>+'8. Projected Oper. Expenses'!$G10</f>
        <v>15</v>
      </c>
      <c r="I26" s="79">
        <f>+'8. Projected Oper. Expenses'!$G10</f>
        <v>15</v>
      </c>
      <c r="J26" s="79">
        <f>+'8. Projected Oper. Expenses'!$G10</f>
        <v>15</v>
      </c>
      <c r="K26" s="79">
        <f>+'8. Projected Oper. Expenses'!$G10</f>
        <v>15</v>
      </c>
      <c r="L26" s="79">
        <f>+'8. Projected Oper. Expenses'!$G10</f>
        <v>15</v>
      </c>
      <c r="M26" s="79">
        <f>+'8. Projected Oper. Expenses'!$G10</f>
        <v>15</v>
      </c>
      <c r="N26" s="79">
        <f>+'8. Projected Oper. Expenses'!$G10</f>
        <v>15</v>
      </c>
      <c r="O26" s="79">
        <f>+'8. Projected Oper. Expenses'!$G10</f>
        <v>15</v>
      </c>
      <c r="P26" s="79">
        <f>+'8. Projected Oper. Expenses'!$G10</f>
        <v>15</v>
      </c>
      <c r="Q26" s="73">
        <f t="shared" ref="Q26:Q31" si="5">SUM(E26:P26)</f>
        <v>180</v>
      </c>
    </row>
    <row r="27" spans="1:17" ht="12.75" customHeight="1">
      <c r="A27" s="1"/>
      <c r="B27" s="1" t="s">
        <v>30</v>
      </c>
      <c r="C27" s="1"/>
      <c r="D27" s="14"/>
      <c r="E27" s="74">
        <f>+'8. Projected Oper. Expenses'!$G11</f>
        <v>3</v>
      </c>
      <c r="F27" s="79">
        <f>+'8. Projected Oper. Expenses'!$G11</f>
        <v>3</v>
      </c>
      <c r="G27" s="79">
        <f>+'8. Projected Oper. Expenses'!$G11</f>
        <v>3</v>
      </c>
      <c r="H27" s="79">
        <f>+'8. Projected Oper. Expenses'!$G11</f>
        <v>3</v>
      </c>
      <c r="I27" s="79">
        <f>+'8. Projected Oper. Expenses'!$G11</f>
        <v>3</v>
      </c>
      <c r="J27" s="79">
        <f>+'8. Projected Oper. Expenses'!$G11</f>
        <v>3</v>
      </c>
      <c r="K27" s="79">
        <f>+'8. Projected Oper. Expenses'!$G11</f>
        <v>3</v>
      </c>
      <c r="L27" s="79">
        <f>+'8. Projected Oper. Expenses'!$G11</f>
        <v>3</v>
      </c>
      <c r="M27" s="79">
        <f>+'8. Projected Oper. Expenses'!$G11</f>
        <v>3</v>
      </c>
      <c r="N27" s="79">
        <f>+'8. Projected Oper. Expenses'!$G11</f>
        <v>3</v>
      </c>
      <c r="O27" s="79">
        <f>+'8. Projected Oper. Expenses'!$G11</f>
        <v>3</v>
      </c>
      <c r="P27" s="79">
        <f>+'8. Projected Oper. Expenses'!$G11</f>
        <v>3</v>
      </c>
      <c r="Q27" s="73">
        <f t="shared" si="5"/>
        <v>36</v>
      </c>
    </row>
    <row r="28" spans="1:17" ht="12.75" customHeight="1">
      <c r="A28" s="1"/>
      <c r="B28" s="1" t="s">
        <v>19</v>
      </c>
      <c r="C28" s="1"/>
      <c r="D28" s="14"/>
      <c r="E28" s="74">
        <f>+'8. Projected Oper. Expenses'!$G12</f>
        <v>2.25</v>
      </c>
      <c r="F28" s="79">
        <f>+'8. Projected Oper. Expenses'!$G12</f>
        <v>2.25</v>
      </c>
      <c r="G28" s="79">
        <f>+'8. Projected Oper. Expenses'!$G12</f>
        <v>2.25</v>
      </c>
      <c r="H28" s="79">
        <f>+'8. Projected Oper. Expenses'!$G12</f>
        <v>2.25</v>
      </c>
      <c r="I28" s="79">
        <f>+'8. Projected Oper. Expenses'!$G12</f>
        <v>2.25</v>
      </c>
      <c r="J28" s="79">
        <f>+'8. Projected Oper. Expenses'!$G12</f>
        <v>2.25</v>
      </c>
      <c r="K28" s="79">
        <f>+'8. Projected Oper. Expenses'!$G12</f>
        <v>2.25</v>
      </c>
      <c r="L28" s="79">
        <f>+'8. Projected Oper. Expenses'!$G12</f>
        <v>2.25</v>
      </c>
      <c r="M28" s="79">
        <f>+'8. Projected Oper. Expenses'!$G12</f>
        <v>2.25</v>
      </c>
      <c r="N28" s="79">
        <f>+'8. Projected Oper. Expenses'!$G12</f>
        <v>2.25</v>
      </c>
      <c r="O28" s="79">
        <f>+'8. Projected Oper. Expenses'!$G12</f>
        <v>2.25</v>
      </c>
      <c r="P28" s="79">
        <f>+'8. Projected Oper. Expenses'!$G12</f>
        <v>2.25</v>
      </c>
      <c r="Q28" s="73">
        <f t="shared" si="5"/>
        <v>27</v>
      </c>
    </row>
    <row r="29" spans="1:17" ht="12.75" customHeight="1">
      <c r="A29" s="1"/>
      <c r="B29" s="1" t="s">
        <v>36</v>
      </c>
      <c r="C29" s="1"/>
      <c r="D29" s="14"/>
      <c r="E29" s="74">
        <f>+'8. Projected Oper. Expenses'!$G13</f>
        <v>1.85</v>
      </c>
      <c r="F29" s="79">
        <f>+'8. Projected Oper. Expenses'!$G13</f>
        <v>1.85</v>
      </c>
      <c r="G29" s="79">
        <f>+'8. Projected Oper. Expenses'!$G13</f>
        <v>1.85</v>
      </c>
      <c r="H29" s="79">
        <f>+'8. Projected Oper. Expenses'!$G13</f>
        <v>1.85</v>
      </c>
      <c r="I29" s="79">
        <f>+'8. Projected Oper. Expenses'!$G13</f>
        <v>1.85</v>
      </c>
      <c r="J29" s="79">
        <f>+'8. Projected Oper. Expenses'!$G13</f>
        <v>1.85</v>
      </c>
      <c r="K29" s="79">
        <f>+'8. Projected Oper. Expenses'!$G13</f>
        <v>1.85</v>
      </c>
      <c r="L29" s="79">
        <f>+'8. Projected Oper. Expenses'!$G13</f>
        <v>1.85</v>
      </c>
      <c r="M29" s="79">
        <f>+'8. Projected Oper. Expenses'!$G13</f>
        <v>1.85</v>
      </c>
      <c r="N29" s="79">
        <f>+'8. Projected Oper. Expenses'!$G13</f>
        <v>1.85</v>
      </c>
      <c r="O29" s="79">
        <f>+'8. Projected Oper. Expenses'!$G13</f>
        <v>1.85</v>
      </c>
      <c r="P29" s="79">
        <f>+'8. Projected Oper. Expenses'!$G13</f>
        <v>1.85</v>
      </c>
      <c r="Q29" s="73">
        <f t="shared" si="5"/>
        <v>22.200000000000003</v>
      </c>
    </row>
    <row r="30" spans="1:17" ht="12.75" customHeight="1">
      <c r="A30" s="1"/>
      <c r="B30" s="1" t="s">
        <v>38</v>
      </c>
      <c r="C30" s="1"/>
      <c r="D30" s="14"/>
      <c r="E30" s="74">
        <f>+'8. Projected Oper. Expenses'!$G14</f>
        <v>20</v>
      </c>
      <c r="F30" s="79">
        <f>+'8. Projected Oper. Expenses'!$G14</f>
        <v>20</v>
      </c>
      <c r="G30" s="79">
        <f>+'8. Projected Oper. Expenses'!$G14</f>
        <v>20</v>
      </c>
      <c r="H30" s="79">
        <f>+'8. Projected Oper. Expenses'!$G14</f>
        <v>20</v>
      </c>
      <c r="I30" s="79">
        <f>+'8. Projected Oper. Expenses'!$G14</f>
        <v>20</v>
      </c>
      <c r="J30" s="79">
        <f>+'8. Projected Oper. Expenses'!$G14</f>
        <v>20</v>
      </c>
      <c r="K30" s="79">
        <f>+'8. Projected Oper. Expenses'!$G14</f>
        <v>20</v>
      </c>
      <c r="L30" s="79">
        <f>+'8. Projected Oper. Expenses'!$G14</f>
        <v>20</v>
      </c>
      <c r="M30" s="79">
        <f>+'8. Projected Oper. Expenses'!$G14</f>
        <v>20</v>
      </c>
      <c r="N30" s="79">
        <f>+'8. Projected Oper. Expenses'!$G14</f>
        <v>20</v>
      </c>
      <c r="O30" s="79">
        <f>+'8. Projected Oper. Expenses'!$G14</f>
        <v>20</v>
      </c>
      <c r="P30" s="79">
        <f>+'8. Projected Oper. Expenses'!$G14</f>
        <v>20</v>
      </c>
      <c r="Q30" s="73">
        <f t="shared" si="5"/>
        <v>240</v>
      </c>
    </row>
    <row r="31" spans="1:17" ht="12.75" customHeight="1" thickBot="1">
      <c r="A31" s="1"/>
      <c r="B31" s="1" t="s">
        <v>29</v>
      </c>
      <c r="C31" s="1"/>
      <c r="D31" s="14"/>
      <c r="E31" s="78">
        <f>+'8. Projected Oper. Expenses'!$G15</f>
        <v>2.0499999999999998</v>
      </c>
      <c r="F31" s="78">
        <f>+'8. Projected Oper. Expenses'!$G15</f>
        <v>2.0499999999999998</v>
      </c>
      <c r="G31" s="78">
        <f>+'8. Projected Oper. Expenses'!$G15</f>
        <v>2.0499999999999998</v>
      </c>
      <c r="H31" s="78">
        <f>+'8. Projected Oper. Expenses'!$G15</f>
        <v>2.0499999999999998</v>
      </c>
      <c r="I31" s="78">
        <f>+'8. Projected Oper. Expenses'!$G15</f>
        <v>2.0499999999999998</v>
      </c>
      <c r="J31" s="78">
        <f>+'8. Projected Oper. Expenses'!$G15</f>
        <v>2.0499999999999998</v>
      </c>
      <c r="K31" s="78">
        <f>+'8. Projected Oper. Expenses'!$G15</f>
        <v>2.0499999999999998</v>
      </c>
      <c r="L31" s="78">
        <f>+'8. Projected Oper. Expenses'!$G15</f>
        <v>2.0499999999999998</v>
      </c>
      <c r="M31" s="78">
        <f>+'8. Projected Oper. Expenses'!$G15</f>
        <v>2.0499999999999998</v>
      </c>
      <c r="N31" s="78">
        <f>+'8. Projected Oper. Expenses'!$G15</f>
        <v>2.0499999999999998</v>
      </c>
      <c r="O31" s="78">
        <f>+'8. Projected Oper. Expenses'!$G15</f>
        <v>2.0499999999999998</v>
      </c>
      <c r="P31" s="78">
        <f>+'8. Projected Oper. Expenses'!$G15</f>
        <v>2.0499999999999998</v>
      </c>
      <c r="Q31" s="76">
        <f t="shared" si="5"/>
        <v>24.600000000000005</v>
      </c>
    </row>
    <row r="32" spans="1:17" ht="12.75" customHeight="1">
      <c r="A32" s="1" t="s">
        <v>63</v>
      </c>
      <c r="B32" s="1"/>
      <c r="C32" s="1"/>
      <c r="D32" s="14"/>
      <c r="E32" s="56">
        <f t="shared" ref="E32:Q32" si="6">SUM(E26:E31)</f>
        <v>44.15</v>
      </c>
      <c r="F32" s="56">
        <f t="shared" si="6"/>
        <v>44.15</v>
      </c>
      <c r="G32" s="56">
        <f t="shared" si="6"/>
        <v>44.15</v>
      </c>
      <c r="H32" s="56">
        <f t="shared" si="6"/>
        <v>44.15</v>
      </c>
      <c r="I32" s="56">
        <f t="shared" si="6"/>
        <v>44.15</v>
      </c>
      <c r="J32" s="56">
        <f t="shared" si="6"/>
        <v>44.15</v>
      </c>
      <c r="K32" s="56">
        <f t="shared" si="6"/>
        <v>44.15</v>
      </c>
      <c r="L32" s="56">
        <f t="shared" si="6"/>
        <v>44.15</v>
      </c>
      <c r="M32" s="56">
        <f t="shared" si="6"/>
        <v>44.15</v>
      </c>
      <c r="N32" s="56">
        <f t="shared" si="6"/>
        <v>44.15</v>
      </c>
      <c r="O32" s="56">
        <f t="shared" si="6"/>
        <v>44.15</v>
      </c>
      <c r="P32" s="56">
        <f t="shared" si="6"/>
        <v>44.15</v>
      </c>
      <c r="Q32" s="73">
        <f t="shared" si="6"/>
        <v>529.79999999999995</v>
      </c>
    </row>
    <row r="33" spans="1:17" ht="12.75" customHeight="1">
      <c r="A33" s="1"/>
      <c r="B33" s="1"/>
      <c r="C33" s="1"/>
      <c r="D33" s="14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73"/>
    </row>
    <row r="34" spans="1:17" ht="15.95" customHeight="1" thickBot="1">
      <c r="A34" s="1" t="s">
        <v>91</v>
      </c>
      <c r="B34" s="1"/>
      <c r="C34" s="1"/>
      <c r="D34" s="14"/>
      <c r="E34" s="31">
        <f>+E18-E23-E32</f>
        <v>-28.698499999999996</v>
      </c>
      <c r="F34" s="31">
        <f t="shared" ref="F34:Q34" si="7">+F18-F23-F32</f>
        <v>-27.888500000000001</v>
      </c>
      <c r="G34" s="31">
        <f t="shared" si="7"/>
        <v>-19.725500000000004</v>
      </c>
      <c r="H34" s="31">
        <f t="shared" si="7"/>
        <v>5.8989999999999938</v>
      </c>
      <c r="I34" s="31">
        <f t="shared" si="7"/>
        <v>212.37249999999997</v>
      </c>
      <c r="J34" s="31">
        <f t="shared" si="7"/>
        <v>370.77700000000004</v>
      </c>
      <c r="K34" s="31">
        <f t="shared" si="7"/>
        <v>461.99649999999997</v>
      </c>
      <c r="L34" s="31">
        <f t="shared" si="7"/>
        <v>461.99649999999997</v>
      </c>
      <c r="M34" s="31">
        <f t="shared" si="7"/>
        <v>355.23099999999999</v>
      </c>
      <c r="N34" s="31">
        <f t="shared" si="7"/>
        <v>56.757999999999988</v>
      </c>
      <c r="O34" s="31">
        <f t="shared" si="7"/>
        <v>-6.6140000000000043</v>
      </c>
      <c r="P34" s="31">
        <f t="shared" si="7"/>
        <v>-22.125500000000002</v>
      </c>
      <c r="Q34" s="31">
        <f t="shared" si="7"/>
        <v>1819.9784999999999</v>
      </c>
    </row>
    <row r="35" spans="1:17" ht="12.75" customHeight="1" thickTop="1">
      <c r="A35" s="1"/>
      <c r="B35" s="1"/>
      <c r="C35" s="1"/>
      <c r="D35" s="14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72"/>
    </row>
    <row r="36" spans="1:17" ht="12.75" customHeight="1">
      <c r="A36" s="1"/>
      <c r="B36" s="1"/>
      <c r="C36" s="1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</row>
    <row r="37" spans="1:17" ht="12.75" customHeight="1"/>
    <row r="38" spans="1:17" ht="12.75" customHeight="1"/>
    <row r="39" spans="1:17" ht="12.75" customHeight="1"/>
    <row r="40" spans="1:17" ht="12.75" customHeight="1"/>
    <row r="41" spans="1:17" ht="12.75" customHeight="1"/>
    <row r="42" spans="1:17" ht="12.75" customHeight="1"/>
    <row r="43" spans="1:17" ht="12.75" customHeight="1"/>
    <row r="44" spans="1:17" ht="12.75" customHeight="1"/>
    <row r="45" spans="1:17" ht="12.75" customHeight="1"/>
    <row r="46" spans="1:17" ht="12.75" customHeight="1"/>
    <row r="47" spans="1:17" ht="12.75" customHeight="1"/>
    <row r="48" spans="1:17" ht="12.75" customHeight="1"/>
    <row r="49" ht="12.75" customHeight="1"/>
    <row r="50" ht="12.75" customHeight="1"/>
    <row r="51" ht="12.75" customHeight="1"/>
    <row r="52" ht="12.75" customHeight="1"/>
    <row r="53" ht="12.75" customHeight="1"/>
  </sheetData>
  <phoneticPr fontId="6" type="noConversion"/>
  <pageMargins left="0.75" right="0.75" top="1" bottom="0.75" header="0.5" footer="0.5"/>
  <pageSetup scale="73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99"/>
    <pageSetUpPr fitToPage="1"/>
  </sheetPr>
  <dimension ref="A1:T52"/>
  <sheetViews>
    <sheetView showGridLines="0" zoomScale="80" zoomScaleNormal="80" workbookViewId="0">
      <selection activeCell="H22" sqref="H22"/>
    </sheetView>
  </sheetViews>
  <sheetFormatPr defaultRowHeight="12"/>
  <cols>
    <col min="1" max="1" width="3" customWidth="1"/>
    <col min="2" max="3" width="3" style="1" customWidth="1"/>
    <col min="4" max="4" width="15.7109375" customWidth="1"/>
    <col min="5" max="5" width="15.7109375" style="2" customWidth="1"/>
    <col min="6" max="6" width="10.7109375" style="2" customWidth="1"/>
    <col min="7" max="7" width="3" style="2" customWidth="1"/>
    <col min="8" max="19" width="11.7109375" customWidth="1"/>
    <col min="20" max="20" width="9.7109375" customWidth="1"/>
  </cols>
  <sheetData>
    <row r="1" spans="1:20" ht="15.75">
      <c r="A1" s="3" t="s">
        <v>39</v>
      </c>
    </row>
    <row r="2" spans="1:20" ht="15.75">
      <c r="A2" s="3" t="s">
        <v>64</v>
      </c>
    </row>
    <row r="3" spans="1:20" ht="12.75" customHeight="1">
      <c r="A3" s="11"/>
      <c r="B3" s="12"/>
      <c r="C3" s="12"/>
      <c r="D3" s="13"/>
      <c r="E3" s="24"/>
      <c r="F3" s="24"/>
      <c r="G3" s="24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4" spans="1:20" ht="12.75" customHeight="1">
      <c r="A4" s="13"/>
      <c r="B4" s="12"/>
      <c r="C4" s="12"/>
      <c r="D4" s="13"/>
      <c r="E4" s="24"/>
      <c r="F4" s="24"/>
      <c r="G4" s="24"/>
      <c r="H4" s="3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ht="12.75" customHeight="1">
      <c r="A5" s="13"/>
      <c r="B5" s="12"/>
      <c r="C5" s="12"/>
      <c r="D5" s="13"/>
      <c r="E5" s="24"/>
      <c r="F5" s="24"/>
      <c r="G5" s="24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0" s="1" customFormat="1" ht="12.75" customHeight="1" thickBot="1">
      <c r="A6" s="12" t="s">
        <v>10</v>
      </c>
      <c r="B6" s="12"/>
      <c r="C6" s="12"/>
      <c r="D6" s="12"/>
      <c r="E6" s="22" t="s">
        <v>6</v>
      </c>
      <c r="F6" s="23" t="s">
        <v>11</v>
      </c>
      <c r="G6" s="22"/>
      <c r="H6" s="50" t="s">
        <v>44</v>
      </c>
      <c r="I6" s="50" t="s">
        <v>45</v>
      </c>
      <c r="J6" s="50" t="s">
        <v>46</v>
      </c>
      <c r="K6" s="50" t="s">
        <v>47</v>
      </c>
      <c r="L6" s="50" t="s">
        <v>31</v>
      </c>
      <c r="M6" s="50" t="s">
        <v>48</v>
      </c>
      <c r="N6" s="50" t="s">
        <v>49</v>
      </c>
      <c r="O6" s="50" t="s">
        <v>50</v>
      </c>
      <c r="P6" s="50" t="s">
        <v>51</v>
      </c>
      <c r="Q6" s="50" t="s">
        <v>52</v>
      </c>
      <c r="R6" s="50" t="s">
        <v>53</v>
      </c>
      <c r="S6" s="50" t="s">
        <v>54</v>
      </c>
      <c r="T6" s="34" t="s">
        <v>0</v>
      </c>
    </row>
    <row r="7" spans="1:20" ht="12.75" customHeight="1" thickTop="1">
      <c r="A7" s="13"/>
      <c r="B7" s="12"/>
      <c r="C7" s="12"/>
      <c r="D7" s="13"/>
      <c r="E7" s="24"/>
      <c r="F7" s="24"/>
      <c r="G7" s="24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ht="12.75" customHeight="1">
      <c r="A8" s="35" t="s">
        <v>32</v>
      </c>
      <c r="B8" s="58"/>
      <c r="C8" s="58"/>
      <c r="D8" s="58"/>
      <c r="E8" s="24"/>
      <c r="F8" s="24"/>
      <c r="G8" s="24"/>
      <c r="H8" s="13">
        <v>13</v>
      </c>
      <c r="I8" s="13">
        <v>15</v>
      </c>
      <c r="J8" s="13">
        <v>30</v>
      </c>
      <c r="K8" s="13">
        <v>61</v>
      </c>
      <c r="L8" s="13">
        <v>340</v>
      </c>
      <c r="M8" s="13">
        <v>557</v>
      </c>
      <c r="N8" s="13">
        <v>681</v>
      </c>
      <c r="O8" s="13">
        <v>681</v>
      </c>
      <c r="P8" s="13">
        <v>525</v>
      </c>
      <c r="Q8" s="13">
        <v>124</v>
      </c>
      <c r="R8" s="13">
        <v>49</v>
      </c>
      <c r="S8" s="13">
        <v>28</v>
      </c>
      <c r="T8" s="13">
        <f>SUM(H8:S8)</f>
        <v>3104</v>
      </c>
    </row>
    <row r="9" spans="1:20" ht="12.75" customHeight="1">
      <c r="A9" s="12"/>
      <c r="B9" s="12" t="s">
        <v>1</v>
      </c>
      <c r="C9" s="12"/>
      <c r="D9" s="13"/>
      <c r="E9" s="64">
        <v>2</v>
      </c>
      <c r="F9" s="25">
        <v>1</v>
      </c>
      <c r="G9" s="25"/>
      <c r="H9" s="288">
        <f>$E9*H$14</f>
        <v>26</v>
      </c>
      <c r="I9" s="288">
        <f t="shared" ref="I9:S10" si="0">$E9*I$14</f>
        <v>30</v>
      </c>
      <c r="J9" s="288">
        <f t="shared" si="0"/>
        <v>60</v>
      </c>
      <c r="K9" s="288">
        <f t="shared" si="0"/>
        <v>122</v>
      </c>
      <c r="L9" s="288">
        <f t="shared" si="0"/>
        <v>680</v>
      </c>
      <c r="M9" s="288">
        <f t="shared" si="0"/>
        <v>1114</v>
      </c>
      <c r="N9" s="288">
        <f t="shared" si="0"/>
        <v>1362</v>
      </c>
      <c r="O9" s="288">
        <f t="shared" si="0"/>
        <v>1362</v>
      </c>
      <c r="P9" s="288">
        <f t="shared" si="0"/>
        <v>1050</v>
      </c>
      <c r="Q9" s="288">
        <f t="shared" si="0"/>
        <v>248</v>
      </c>
      <c r="R9" s="288">
        <f t="shared" si="0"/>
        <v>98</v>
      </c>
      <c r="S9" s="288">
        <f t="shared" si="0"/>
        <v>56</v>
      </c>
      <c r="T9" s="13">
        <f>SUM(H9:S9)</f>
        <v>6208</v>
      </c>
    </row>
    <row r="10" spans="1:20" ht="12.75" customHeight="1">
      <c r="A10" s="12"/>
      <c r="B10" s="12" t="s">
        <v>2</v>
      </c>
      <c r="C10" s="12"/>
      <c r="D10" s="13"/>
      <c r="E10" s="65">
        <v>0.8</v>
      </c>
      <c r="F10" s="26">
        <f>IF(E9&gt;0,E10/E9,0)</f>
        <v>0.4</v>
      </c>
      <c r="G10" s="25"/>
      <c r="H10" s="288">
        <f>$E10*H$14</f>
        <v>10.4</v>
      </c>
      <c r="I10" s="288">
        <f t="shared" si="0"/>
        <v>12</v>
      </c>
      <c r="J10" s="288">
        <f t="shared" si="0"/>
        <v>24</v>
      </c>
      <c r="K10" s="288">
        <f t="shared" si="0"/>
        <v>48.800000000000004</v>
      </c>
      <c r="L10" s="288">
        <f t="shared" si="0"/>
        <v>272</v>
      </c>
      <c r="M10" s="288">
        <f t="shared" si="0"/>
        <v>445.6</v>
      </c>
      <c r="N10" s="288">
        <f t="shared" si="0"/>
        <v>544.80000000000007</v>
      </c>
      <c r="O10" s="288">
        <f t="shared" si="0"/>
        <v>544.80000000000007</v>
      </c>
      <c r="P10" s="288">
        <f t="shared" si="0"/>
        <v>420</v>
      </c>
      <c r="Q10" s="288">
        <f t="shared" si="0"/>
        <v>99.2</v>
      </c>
      <c r="R10" s="288">
        <f t="shared" si="0"/>
        <v>39.200000000000003</v>
      </c>
      <c r="S10" s="288">
        <f t="shared" si="0"/>
        <v>22.400000000000002</v>
      </c>
      <c r="T10" s="13">
        <f>SUM(H10:S10)</f>
        <v>2483.1999999999998</v>
      </c>
    </row>
    <row r="11" spans="1:20" ht="12.75" customHeight="1">
      <c r="A11" s="12"/>
      <c r="B11" s="12" t="s">
        <v>9</v>
      </c>
      <c r="C11" s="12"/>
      <c r="D11" s="13"/>
      <c r="E11" s="27">
        <f>E9-E10</f>
        <v>1.2</v>
      </c>
      <c r="F11" s="25">
        <f>IF(E9&gt;0,E11/E9,0)</f>
        <v>0.6</v>
      </c>
      <c r="G11" s="25"/>
      <c r="H11" s="288">
        <f>H9-H10</f>
        <v>15.6</v>
      </c>
      <c r="I11" s="288">
        <f t="shared" ref="I11:S11" si="1">I9-I10</f>
        <v>18</v>
      </c>
      <c r="J11" s="288">
        <f t="shared" si="1"/>
        <v>36</v>
      </c>
      <c r="K11" s="288">
        <f t="shared" si="1"/>
        <v>73.199999999999989</v>
      </c>
      <c r="L11" s="288">
        <f t="shared" si="1"/>
        <v>408</v>
      </c>
      <c r="M11" s="288">
        <f t="shared" si="1"/>
        <v>668.4</v>
      </c>
      <c r="N11" s="288">
        <f t="shared" si="1"/>
        <v>817.19999999999993</v>
      </c>
      <c r="O11" s="288">
        <f t="shared" si="1"/>
        <v>817.19999999999993</v>
      </c>
      <c r="P11" s="288">
        <f t="shared" si="1"/>
        <v>630</v>
      </c>
      <c r="Q11" s="288">
        <f t="shared" si="1"/>
        <v>148.80000000000001</v>
      </c>
      <c r="R11" s="288">
        <f t="shared" si="1"/>
        <v>58.8</v>
      </c>
      <c r="S11" s="288">
        <f t="shared" si="1"/>
        <v>33.599999999999994</v>
      </c>
      <c r="T11" s="13">
        <f>SUM(H11:S11)</f>
        <v>3724.7999999999997</v>
      </c>
    </row>
    <row r="12" spans="1:20" ht="12.75" customHeight="1">
      <c r="A12" s="12"/>
      <c r="B12" s="12" t="s">
        <v>5</v>
      </c>
      <c r="C12" s="12"/>
      <c r="D12" s="13"/>
      <c r="E12" s="24"/>
      <c r="F12" s="24"/>
      <c r="G12" s="24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</row>
    <row r="13" spans="1:20" ht="12.75" customHeight="1" thickBot="1">
      <c r="A13" s="12"/>
      <c r="B13" s="12"/>
      <c r="C13" s="12" t="s">
        <v>8</v>
      </c>
      <c r="D13" s="13"/>
      <c r="E13" s="24"/>
      <c r="F13" s="24"/>
      <c r="G13" s="24"/>
      <c r="H13" s="61">
        <f t="shared" ref="H13:S13" si="2">IF(H14=0,0,H14/$T$14)</f>
        <v>4.1881443298969071E-3</v>
      </c>
      <c r="I13" s="61">
        <f t="shared" si="2"/>
        <v>4.8324742268041239E-3</v>
      </c>
      <c r="J13" s="61">
        <f t="shared" si="2"/>
        <v>9.6649484536082478E-3</v>
      </c>
      <c r="K13" s="61">
        <f t="shared" si="2"/>
        <v>1.9652061855670103E-2</v>
      </c>
      <c r="L13" s="61">
        <f t="shared" si="2"/>
        <v>0.1095360824742268</v>
      </c>
      <c r="M13" s="61">
        <f t="shared" si="2"/>
        <v>0.17944587628865979</v>
      </c>
      <c r="N13" s="61">
        <f t="shared" si="2"/>
        <v>0.21939432989690721</v>
      </c>
      <c r="O13" s="61">
        <f t="shared" si="2"/>
        <v>0.21939432989690721</v>
      </c>
      <c r="P13" s="61">
        <f t="shared" si="2"/>
        <v>0.16913659793814434</v>
      </c>
      <c r="Q13" s="61">
        <f t="shared" si="2"/>
        <v>3.994845360824742E-2</v>
      </c>
      <c r="R13" s="61">
        <f t="shared" si="2"/>
        <v>1.5786082474226804E-2</v>
      </c>
      <c r="S13" s="61">
        <f t="shared" si="2"/>
        <v>9.0206185567010301E-3</v>
      </c>
      <c r="T13" s="62">
        <f>SUM(H13:S13)</f>
        <v>0.99999999999999978</v>
      </c>
    </row>
    <row r="14" spans="1:20" ht="12.75" customHeight="1">
      <c r="A14" s="12"/>
      <c r="B14" s="12"/>
      <c r="C14" s="1" t="s">
        <v>5</v>
      </c>
      <c r="D14" s="13"/>
      <c r="E14" s="24"/>
      <c r="F14" s="24"/>
      <c r="G14" s="24"/>
      <c r="H14" s="66">
        <v>13</v>
      </c>
      <c r="I14" s="66">
        <v>15</v>
      </c>
      <c r="J14" s="66">
        <v>30</v>
      </c>
      <c r="K14" s="66">
        <v>61</v>
      </c>
      <c r="L14" s="66">
        <v>340</v>
      </c>
      <c r="M14" s="66">
        <v>557</v>
      </c>
      <c r="N14" s="66">
        <v>681</v>
      </c>
      <c r="O14" s="66">
        <v>681</v>
      </c>
      <c r="P14" s="66">
        <v>525</v>
      </c>
      <c r="Q14" s="66">
        <v>124</v>
      </c>
      <c r="R14" s="66">
        <v>49</v>
      </c>
      <c r="S14" s="66">
        <v>28</v>
      </c>
      <c r="T14" s="63">
        <f>SUM(H14:S14)</f>
        <v>3104</v>
      </c>
    </row>
    <row r="15" spans="1:20" ht="12.75" customHeight="1">
      <c r="A15" s="13"/>
      <c r="B15" s="12"/>
      <c r="C15" s="12"/>
      <c r="D15" s="13"/>
      <c r="E15" s="24"/>
      <c r="F15" s="24"/>
      <c r="G15" s="24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</row>
    <row r="16" spans="1:20" ht="12.75" customHeight="1">
      <c r="A16" s="13"/>
      <c r="B16" s="12" t="s">
        <v>7</v>
      </c>
      <c r="C16" s="12"/>
      <c r="D16" s="13"/>
      <c r="E16" s="28">
        <f>T14*E9</f>
        <v>6208</v>
      </c>
      <c r="F16" s="25"/>
      <c r="G16" s="24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20" ht="12.75" customHeight="1">
      <c r="A17" s="13"/>
      <c r="B17" s="12" t="s">
        <v>3</v>
      </c>
      <c r="C17" s="12"/>
      <c r="D17" s="13"/>
      <c r="E17" s="29">
        <f>E10*T14</f>
        <v>2483.2000000000003</v>
      </c>
      <c r="F17" s="25"/>
      <c r="G17" s="24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</row>
    <row r="18" spans="1:20" ht="12.75" customHeight="1">
      <c r="A18" s="12"/>
      <c r="B18" s="12" t="s">
        <v>4</v>
      </c>
      <c r="C18" s="12"/>
      <c r="D18" s="13"/>
      <c r="E18" s="30">
        <f>E16-E17</f>
        <v>3724.7999999999997</v>
      </c>
      <c r="F18" s="25">
        <f>IF(E16&gt;0,E18/E16,0)</f>
        <v>0.6</v>
      </c>
      <c r="G18" s="24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</row>
    <row r="19" spans="1:20" ht="12.75" customHeight="1">
      <c r="A19" s="13"/>
      <c r="B19" s="12"/>
      <c r="C19" s="12"/>
      <c r="D19" s="13"/>
      <c r="E19" s="28"/>
      <c r="F19" s="24"/>
      <c r="G19" s="24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</row>
    <row r="20" spans="1:20" ht="12.75" customHeight="1">
      <c r="A20" s="35" t="s">
        <v>33</v>
      </c>
      <c r="B20" s="58"/>
      <c r="C20" s="58"/>
      <c r="D20" s="58"/>
      <c r="E20" s="24"/>
      <c r="F20" s="24"/>
      <c r="G20" s="24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</row>
    <row r="21" spans="1:20" ht="12.75" customHeight="1">
      <c r="A21" s="12"/>
      <c r="B21" s="12" t="s">
        <v>1</v>
      </c>
      <c r="C21" s="12"/>
      <c r="D21" s="13"/>
      <c r="E21" s="64">
        <v>2.25</v>
      </c>
      <c r="F21" s="25">
        <v>1</v>
      </c>
      <c r="G21" s="25"/>
      <c r="H21" s="288">
        <f>$E21*H$26</f>
        <v>13.5</v>
      </c>
      <c r="I21" s="13">
        <v>5</v>
      </c>
      <c r="J21" s="13">
        <v>11</v>
      </c>
      <c r="K21" s="13">
        <v>22</v>
      </c>
      <c r="L21" s="13">
        <v>118</v>
      </c>
      <c r="M21" s="13">
        <v>194</v>
      </c>
      <c r="N21" s="13">
        <v>237</v>
      </c>
      <c r="O21" s="13">
        <v>237</v>
      </c>
      <c r="P21" s="13">
        <v>184</v>
      </c>
      <c r="Q21" s="13">
        <v>43</v>
      </c>
      <c r="R21" s="13">
        <v>11</v>
      </c>
      <c r="S21" s="13">
        <v>11</v>
      </c>
      <c r="T21" s="13">
        <f>SUM(H21:S21)</f>
        <v>1086.5</v>
      </c>
    </row>
    <row r="22" spans="1:20" ht="12.75" customHeight="1">
      <c r="A22" s="12"/>
      <c r="B22" s="12" t="s">
        <v>2</v>
      </c>
      <c r="C22" s="12"/>
      <c r="D22" s="13"/>
      <c r="E22" s="65">
        <v>0.66</v>
      </c>
      <c r="F22" s="26">
        <f>IF(E21&gt;0,E22/E21,0)</f>
        <v>0.29333333333333333</v>
      </c>
      <c r="G22" s="25"/>
      <c r="H22" s="288">
        <f>$E22*H$26</f>
        <v>3.96</v>
      </c>
      <c r="I22" s="288">
        <f t="shared" ref="I22:S22" si="3">$E22*I$26</f>
        <v>3.3000000000000003</v>
      </c>
      <c r="J22" s="288">
        <f t="shared" si="3"/>
        <v>7.2600000000000007</v>
      </c>
      <c r="K22" s="288">
        <f t="shared" si="3"/>
        <v>14.520000000000001</v>
      </c>
      <c r="L22" s="288">
        <f t="shared" si="3"/>
        <v>77.88000000000001</v>
      </c>
      <c r="M22" s="288">
        <f t="shared" si="3"/>
        <v>128.04</v>
      </c>
      <c r="N22" s="288">
        <f t="shared" si="3"/>
        <v>156.42000000000002</v>
      </c>
      <c r="O22" s="288">
        <f t="shared" si="3"/>
        <v>156.42000000000002</v>
      </c>
      <c r="P22" s="288">
        <f t="shared" si="3"/>
        <v>121.44000000000001</v>
      </c>
      <c r="Q22" s="288">
        <f t="shared" si="3"/>
        <v>28.380000000000003</v>
      </c>
      <c r="R22" s="288">
        <f t="shared" si="3"/>
        <v>7.2600000000000007</v>
      </c>
      <c r="S22" s="288">
        <f t="shared" si="3"/>
        <v>7.2600000000000007</v>
      </c>
      <c r="T22" s="13">
        <f>SUM(H22:S22)</f>
        <v>712.14</v>
      </c>
    </row>
    <row r="23" spans="1:20" ht="12.75" customHeight="1">
      <c r="A23" s="12"/>
      <c r="B23" s="12" t="s">
        <v>9</v>
      </c>
      <c r="C23" s="12"/>
      <c r="D23" s="13"/>
      <c r="E23" s="27">
        <f>E21-E22</f>
        <v>1.5899999999999999</v>
      </c>
      <c r="F23" s="25">
        <f>IF(E21&gt;0,E23/E21,0)</f>
        <v>0.70666666666666655</v>
      </c>
      <c r="G23" s="25"/>
      <c r="H23" s="288">
        <f>H21-H22</f>
        <v>9.5399999999999991</v>
      </c>
      <c r="I23" s="288">
        <f t="shared" ref="I23:S23" si="4">I21-I22</f>
        <v>1.6999999999999997</v>
      </c>
      <c r="J23" s="288">
        <f t="shared" si="4"/>
        <v>3.7399999999999993</v>
      </c>
      <c r="K23" s="288">
        <f t="shared" si="4"/>
        <v>7.4799999999999986</v>
      </c>
      <c r="L23" s="288">
        <f t="shared" si="4"/>
        <v>40.11999999999999</v>
      </c>
      <c r="M23" s="288">
        <f t="shared" si="4"/>
        <v>65.960000000000008</v>
      </c>
      <c r="N23" s="288">
        <f t="shared" si="4"/>
        <v>80.579999999999984</v>
      </c>
      <c r="O23" s="288">
        <f t="shared" si="4"/>
        <v>80.579999999999984</v>
      </c>
      <c r="P23" s="288">
        <f t="shared" si="4"/>
        <v>62.559999999999988</v>
      </c>
      <c r="Q23" s="288">
        <f t="shared" si="4"/>
        <v>14.619999999999997</v>
      </c>
      <c r="R23" s="288">
        <f t="shared" si="4"/>
        <v>3.7399999999999993</v>
      </c>
      <c r="S23" s="288">
        <f t="shared" si="4"/>
        <v>3.7399999999999993</v>
      </c>
      <c r="T23" s="13">
        <f>SUM(H23:S23)</f>
        <v>374.35999999999996</v>
      </c>
    </row>
    <row r="24" spans="1:20" ht="12.75" customHeight="1">
      <c r="A24" s="12"/>
      <c r="B24" s="12" t="s">
        <v>5</v>
      </c>
      <c r="C24" s="12"/>
      <c r="D24" s="13"/>
      <c r="E24" s="24"/>
      <c r="F24" s="24"/>
      <c r="G24" s="24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1:20" ht="12.75" customHeight="1" thickBot="1">
      <c r="A25" s="12"/>
      <c r="B25" s="12"/>
      <c r="C25" s="12" t="s">
        <v>8</v>
      </c>
      <c r="D25" s="13"/>
      <c r="E25" s="24"/>
      <c r="F25" s="24"/>
      <c r="G25" s="24"/>
      <c r="H25" s="61">
        <f>IF(H26=0,0,H26/$T$26)</f>
        <v>5.5607043558850789E-3</v>
      </c>
      <c r="I25" s="61">
        <f t="shared" ref="I25:S25" si="5">IF(I26=0,0,I26/$T$26)</f>
        <v>4.6339202965708986E-3</v>
      </c>
      <c r="J25" s="61">
        <f t="shared" si="5"/>
        <v>1.0194624652455977E-2</v>
      </c>
      <c r="K25" s="61">
        <f t="shared" si="5"/>
        <v>2.0389249304911955E-2</v>
      </c>
      <c r="L25" s="61">
        <f t="shared" si="5"/>
        <v>0.10936051899907322</v>
      </c>
      <c r="M25" s="61">
        <f t="shared" si="5"/>
        <v>0.17979610750695088</v>
      </c>
      <c r="N25" s="61">
        <f t="shared" si="5"/>
        <v>0.21964782205746061</v>
      </c>
      <c r="O25" s="61">
        <f t="shared" si="5"/>
        <v>0.21964782205746061</v>
      </c>
      <c r="P25" s="61">
        <f t="shared" si="5"/>
        <v>0.1705282669138091</v>
      </c>
      <c r="Q25" s="61">
        <f t="shared" si="5"/>
        <v>3.9851714550509731E-2</v>
      </c>
      <c r="R25" s="61">
        <f t="shared" si="5"/>
        <v>1.0194624652455977E-2</v>
      </c>
      <c r="S25" s="61">
        <f t="shared" si="5"/>
        <v>1.0194624652455977E-2</v>
      </c>
      <c r="T25" s="62">
        <f>SUM(H25:S25)</f>
        <v>1</v>
      </c>
    </row>
    <row r="26" spans="1:20" ht="12.75" customHeight="1">
      <c r="A26" s="12"/>
      <c r="B26" s="12"/>
      <c r="C26" s="1" t="s">
        <v>5</v>
      </c>
      <c r="D26" s="13"/>
      <c r="E26" s="24"/>
      <c r="F26" s="24"/>
      <c r="G26" s="24"/>
      <c r="H26" s="66">
        <v>6</v>
      </c>
      <c r="I26" s="66">
        <v>5</v>
      </c>
      <c r="J26" s="66">
        <v>11</v>
      </c>
      <c r="K26" s="66">
        <v>22</v>
      </c>
      <c r="L26" s="66">
        <v>118</v>
      </c>
      <c r="M26" s="66">
        <v>194</v>
      </c>
      <c r="N26" s="66">
        <v>237</v>
      </c>
      <c r="O26" s="66">
        <v>237</v>
      </c>
      <c r="P26" s="66">
        <v>184</v>
      </c>
      <c r="Q26" s="66">
        <v>43</v>
      </c>
      <c r="R26" s="66">
        <v>11</v>
      </c>
      <c r="S26" s="66">
        <v>11</v>
      </c>
      <c r="T26" s="63">
        <f>SUM(H26:S26)</f>
        <v>1079</v>
      </c>
    </row>
    <row r="27" spans="1:20" ht="12.75" customHeight="1">
      <c r="A27" s="13"/>
      <c r="B27" s="12"/>
      <c r="C27" s="12"/>
      <c r="D27" s="13"/>
      <c r="E27" s="24"/>
      <c r="F27" s="24"/>
      <c r="G27" s="24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</row>
    <row r="28" spans="1:20" ht="12.75" customHeight="1">
      <c r="A28" s="13"/>
      <c r="B28" s="12" t="s">
        <v>7</v>
      </c>
      <c r="C28" s="12"/>
      <c r="D28" s="13"/>
      <c r="E28" s="28">
        <f>T26*E21</f>
        <v>2427.75</v>
      </c>
      <c r="F28" s="25"/>
      <c r="G28" s="24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</row>
    <row r="29" spans="1:20" ht="12.75" customHeight="1">
      <c r="A29" s="13"/>
      <c r="B29" s="12" t="s">
        <v>3</v>
      </c>
      <c r="C29" s="12"/>
      <c r="D29" s="13"/>
      <c r="E29" s="29">
        <f>E22*T26</f>
        <v>712.14</v>
      </c>
      <c r="F29" s="25"/>
      <c r="G29" s="24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</row>
    <row r="30" spans="1:20" ht="12.75" customHeight="1">
      <c r="A30" s="12"/>
      <c r="B30" s="12" t="s">
        <v>4</v>
      </c>
      <c r="C30" s="12"/>
      <c r="D30" s="13"/>
      <c r="E30" s="30">
        <f>E28-E29</f>
        <v>1715.6100000000001</v>
      </c>
      <c r="F30" s="25">
        <f>IF(E28&gt;0,E30/E28,0)</f>
        <v>0.70666666666666667</v>
      </c>
      <c r="G30" s="24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ht="12.75" customHeight="1">
      <c r="A31" s="5"/>
      <c r="B31" s="6"/>
      <c r="C31" s="6"/>
      <c r="D31" s="5"/>
      <c r="E31" s="8"/>
      <c r="F31" s="7"/>
      <c r="G31" s="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12.75" customHeight="1">
      <c r="A32" s="5"/>
      <c r="B32" s="6"/>
      <c r="C32" s="6"/>
      <c r="D32" s="5"/>
      <c r="E32" s="9"/>
      <c r="F32" s="7"/>
      <c r="G32" s="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40" spans="5:7">
      <c r="E40"/>
      <c r="F40"/>
      <c r="G40"/>
    </row>
    <row r="41" spans="5:7">
      <c r="E41"/>
      <c r="F41"/>
      <c r="G41"/>
    </row>
    <row r="42" spans="5:7">
      <c r="E42"/>
      <c r="F42"/>
      <c r="G42"/>
    </row>
    <row r="43" spans="5:7">
      <c r="E43"/>
      <c r="F43"/>
      <c r="G43"/>
    </row>
    <row r="44" spans="5:7">
      <c r="E44"/>
      <c r="F44"/>
      <c r="G44"/>
    </row>
    <row r="45" spans="5:7">
      <c r="E45"/>
      <c r="F45"/>
      <c r="G45"/>
    </row>
    <row r="46" spans="5:7">
      <c r="E46"/>
      <c r="F46"/>
      <c r="G46"/>
    </row>
    <row r="47" spans="5:7">
      <c r="E47"/>
      <c r="F47"/>
      <c r="G47"/>
    </row>
    <row r="48" spans="5:7">
      <c r="E48"/>
      <c r="F48"/>
      <c r="G48"/>
    </row>
    <row r="49" spans="5:7">
      <c r="E49"/>
      <c r="F49"/>
      <c r="G49"/>
    </row>
    <row r="50" spans="5:7">
      <c r="E50"/>
      <c r="F50"/>
      <c r="G50"/>
    </row>
    <row r="51" spans="5:7">
      <c r="E51"/>
      <c r="F51"/>
      <c r="G51"/>
    </row>
    <row r="52" spans="5:7">
      <c r="E52"/>
      <c r="F52"/>
      <c r="G52"/>
    </row>
  </sheetData>
  <phoneticPr fontId="6" type="noConversion"/>
  <pageMargins left="0.75" right="0.75" top="1" bottom="1" header="0.5" footer="0.5"/>
  <pageSetup scale="65" orientation="landscape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FFFF99"/>
    <pageSetUpPr fitToPage="1"/>
  </sheetPr>
  <dimension ref="A1:X24"/>
  <sheetViews>
    <sheetView showGridLines="0" zoomScale="80" zoomScaleNormal="80" workbookViewId="0">
      <selection activeCell="M9" sqref="M9"/>
    </sheetView>
  </sheetViews>
  <sheetFormatPr defaultRowHeight="12"/>
  <cols>
    <col min="1" max="4" width="3" style="1" customWidth="1"/>
    <col min="5" max="5" width="18.7109375" customWidth="1"/>
    <col min="6" max="6" width="6.7109375" style="10" customWidth="1"/>
    <col min="7" max="7" width="15.42578125" customWidth="1"/>
    <col min="8" max="8" width="3" customWidth="1"/>
    <col min="9" max="9" width="3.7109375" customWidth="1"/>
    <col min="10" max="10" width="22.42578125" bestFit="1" customWidth="1"/>
    <col min="11" max="24" width="9.140625" style="10"/>
  </cols>
  <sheetData>
    <row r="1" spans="1:23" ht="15.75">
      <c r="A1" s="3" t="s">
        <v>39</v>
      </c>
    </row>
    <row r="2" spans="1:23" ht="15.75">
      <c r="A2" s="3" t="s">
        <v>65</v>
      </c>
    </row>
    <row r="3" spans="1:23">
      <c r="E3" s="1"/>
      <c r="F3" s="17"/>
      <c r="G3" s="14"/>
      <c r="H3" s="14"/>
      <c r="I3" s="14"/>
      <c r="J3" s="33"/>
    </row>
    <row r="4" spans="1:23">
      <c r="E4" s="14"/>
      <c r="F4" s="17"/>
      <c r="G4" s="14"/>
      <c r="H4" s="14"/>
      <c r="I4" s="14"/>
    </row>
    <row r="5" spans="1:23" ht="12.75" customHeight="1">
      <c r="E5" s="14"/>
      <c r="F5" s="17"/>
      <c r="G5" s="14"/>
      <c r="H5" s="14"/>
      <c r="I5" s="14"/>
    </row>
    <row r="6" spans="1:23" ht="12.75" customHeight="1" thickBot="1">
      <c r="A6" s="40" t="s">
        <v>61</v>
      </c>
      <c r="B6" s="41"/>
      <c r="C6" s="41"/>
      <c r="D6" s="41"/>
      <c r="E6" s="42"/>
      <c r="F6" s="43"/>
      <c r="G6" s="44"/>
      <c r="H6" s="15"/>
      <c r="I6" s="15"/>
      <c r="K6" s="50" t="s">
        <v>44</v>
      </c>
      <c r="L6" s="50" t="s">
        <v>45</v>
      </c>
      <c r="M6" s="50" t="s">
        <v>46</v>
      </c>
      <c r="N6" s="50" t="s">
        <v>47</v>
      </c>
      <c r="O6" s="50" t="s">
        <v>31</v>
      </c>
      <c r="P6" s="50" t="s">
        <v>48</v>
      </c>
      <c r="Q6" s="50" t="s">
        <v>49</v>
      </c>
      <c r="R6" s="50" t="s">
        <v>50</v>
      </c>
      <c r="S6" s="50" t="s">
        <v>51</v>
      </c>
      <c r="T6" s="50" t="s">
        <v>52</v>
      </c>
      <c r="U6" s="50" t="s">
        <v>53</v>
      </c>
      <c r="V6" s="50" t="s">
        <v>54</v>
      </c>
      <c r="W6" s="34" t="s">
        <v>0</v>
      </c>
    </row>
    <row r="7" spans="1:23" ht="12.75" customHeight="1" thickTop="1">
      <c r="A7" s="45"/>
      <c r="E7" s="14"/>
      <c r="F7" s="17"/>
      <c r="G7" s="46"/>
      <c r="H7" s="14"/>
      <c r="I7" s="14"/>
    </row>
    <row r="8" spans="1:23" ht="12.75" customHeight="1">
      <c r="A8" s="45" t="s">
        <v>60</v>
      </c>
      <c r="E8" s="14"/>
      <c r="F8" s="17"/>
      <c r="G8" s="46"/>
      <c r="H8" s="14"/>
      <c r="I8" s="14"/>
      <c r="J8" s="15" t="s">
        <v>58</v>
      </c>
      <c r="K8" s="87">
        <v>1</v>
      </c>
      <c r="L8" s="87">
        <v>1</v>
      </c>
      <c r="M8" s="87">
        <v>3</v>
      </c>
      <c r="N8" s="87">
        <v>6</v>
      </c>
      <c r="O8" s="87">
        <v>35</v>
      </c>
      <c r="P8" s="87">
        <v>58</v>
      </c>
      <c r="Q8" s="87">
        <v>71</v>
      </c>
      <c r="R8" s="87">
        <v>71</v>
      </c>
      <c r="S8" s="87">
        <v>54</v>
      </c>
      <c r="T8" s="87">
        <v>12</v>
      </c>
      <c r="U8" s="87">
        <v>4</v>
      </c>
      <c r="V8" s="87">
        <v>3</v>
      </c>
      <c r="W8" s="283">
        <f>+SUM(K8:V8)</f>
        <v>319</v>
      </c>
    </row>
    <row r="9" spans="1:23" ht="12.75" customHeight="1">
      <c r="A9" s="45"/>
      <c r="B9" s="1" t="s">
        <v>13</v>
      </c>
      <c r="E9" s="14"/>
      <c r="F9" s="17"/>
      <c r="G9" s="55">
        <v>9</v>
      </c>
      <c r="H9" s="14"/>
      <c r="I9" s="14"/>
      <c r="J9" s="15"/>
      <c r="W9" s="2"/>
    </row>
    <row r="10" spans="1:23" ht="12.75" customHeight="1">
      <c r="A10" s="45"/>
      <c r="E10" s="14"/>
      <c r="F10" s="17"/>
      <c r="G10" s="46"/>
      <c r="H10" s="14"/>
      <c r="I10" s="14"/>
      <c r="J10" s="15" t="s">
        <v>35</v>
      </c>
      <c r="K10" s="36">
        <f>+$G$9*K8</f>
        <v>9</v>
      </c>
      <c r="L10" s="36">
        <f t="shared" ref="L10:V10" si="0">+$G$9*L8</f>
        <v>9</v>
      </c>
      <c r="M10" s="36">
        <f t="shared" si="0"/>
        <v>27</v>
      </c>
      <c r="N10" s="36">
        <f t="shared" si="0"/>
        <v>54</v>
      </c>
      <c r="O10" s="36">
        <f t="shared" si="0"/>
        <v>315</v>
      </c>
      <c r="P10" s="36">
        <f t="shared" si="0"/>
        <v>522</v>
      </c>
      <c r="Q10" s="36">
        <f t="shared" si="0"/>
        <v>639</v>
      </c>
      <c r="R10" s="36">
        <f t="shared" si="0"/>
        <v>639</v>
      </c>
      <c r="S10" s="36">
        <f t="shared" si="0"/>
        <v>486</v>
      </c>
      <c r="T10" s="36">
        <f t="shared" si="0"/>
        <v>108</v>
      </c>
      <c r="U10" s="36">
        <f t="shared" si="0"/>
        <v>36</v>
      </c>
      <c r="V10" s="36">
        <f t="shared" si="0"/>
        <v>27</v>
      </c>
      <c r="W10" s="284">
        <f>SUM(K10:V10)</f>
        <v>2871</v>
      </c>
    </row>
    <row r="11" spans="1:23" ht="12.75" customHeight="1">
      <c r="A11" s="45" t="s">
        <v>57</v>
      </c>
      <c r="E11" s="14"/>
      <c r="F11" s="17"/>
      <c r="G11" s="46"/>
      <c r="H11" s="19"/>
      <c r="I11" s="19"/>
      <c r="J11" s="15" t="s">
        <v>56</v>
      </c>
      <c r="K11" s="37">
        <f t="shared" ref="K11:W11" si="1">+K10*SUM($G$12:$G$13)</f>
        <v>0.6885</v>
      </c>
      <c r="L11" s="37">
        <f t="shared" si="1"/>
        <v>0.6885</v>
      </c>
      <c r="M11" s="37">
        <f t="shared" si="1"/>
        <v>2.0655000000000001</v>
      </c>
      <c r="N11" s="37">
        <f t="shared" si="1"/>
        <v>4.1310000000000002</v>
      </c>
      <c r="O11" s="37">
        <f t="shared" si="1"/>
        <v>24.0975</v>
      </c>
      <c r="P11" s="37">
        <f t="shared" si="1"/>
        <v>39.933</v>
      </c>
      <c r="Q11" s="37">
        <f t="shared" si="1"/>
        <v>48.883499999999998</v>
      </c>
      <c r="R11" s="37">
        <f t="shared" si="1"/>
        <v>48.883499999999998</v>
      </c>
      <c r="S11" s="37">
        <f t="shared" si="1"/>
        <v>37.179000000000002</v>
      </c>
      <c r="T11" s="37">
        <f t="shared" si="1"/>
        <v>8.2620000000000005</v>
      </c>
      <c r="U11" s="37">
        <f t="shared" si="1"/>
        <v>2.754</v>
      </c>
      <c r="V11" s="37">
        <f t="shared" si="1"/>
        <v>2.0655000000000001</v>
      </c>
      <c r="W11" s="285">
        <f t="shared" si="1"/>
        <v>219.63149999999999</v>
      </c>
    </row>
    <row r="12" spans="1:23" ht="12.75" customHeight="1">
      <c r="A12" s="45"/>
      <c r="B12" s="1" t="s">
        <v>14</v>
      </c>
      <c r="E12" s="14"/>
      <c r="F12" s="17"/>
      <c r="G12" s="51">
        <v>6.2E-2</v>
      </c>
      <c r="H12" s="14"/>
      <c r="I12" s="14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</row>
    <row r="13" spans="1:23" ht="12.75" customHeight="1">
      <c r="A13" s="45"/>
      <c r="B13" s="1" t="s">
        <v>15</v>
      </c>
      <c r="E13" s="14"/>
      <c r="F13" s="17"/>
      <c r="G13" s="51">
        <v>1.4500000000000001E-2</v>
      </c>
      <c r="H13" s="14"/>
      <c r="I13" s="14"/>
      <c r="J13" s="15" t="s">
        <v>59</v>
      </c>
      <c r="K13" s="36">
        <f>+SUM(K10:K11)</f>
        <v>9.6884999999999994</v>
      </c>
      <c r="L13" s="36">
        <f t="shared" ref="L13:V13" si="2">+SUM(L10:L11)</f>
        <v>9.6884999999999994</v>
      </c>
      <c r="M13" s="36">
        <f t="shared" si="2"/>
        <v>29.0655</v>
      </c>
      <c r="N13" s="36">
        <f t="shared" si="2"/>
        <v>58.131</v>
      </c>
      <c r="O13" s="36">
        <f t="shared" si="2"/>
        <v>339.09750000000003</v>
      </c>
      <c r="P13" s="36">
        <f t="shared" si="2"/>
        <v>561.93299999999999</v>
      </c>
      <c r="Q13" s="36">
        <f t="shared" si="2"/>
        <v>687.88350000000003</v>
      </c>
      <c r="R13" s="36">
        <f t="shared" si="2"/>
        <v>687.88350000000003</v>
      </c>
      <c r="S13" s="36">
        <f t="shared" si="2"/>
        <v>523.17899999999997</v>
      </c>
      <c r="T13" s="36">
        <f t="shared" si="2"/>
        <v>116.262</v>
      </c>
      <c r="U13" s="36">
        <f t="shared" si="2"/>
        <v>38.753999999999998</v>
      </c>
      <c r="V13" s="36">
        <f t="shared" si="2"/>
        <v>29.0655</v>
      </c>
      <c r="W13" s="36">
        <f>SUM(K13:V13)</f>
        <v>3090.6315000000004</v>
      </c>
    </row>
    <row r="14" spans="1:23" ht="12.75" customHeight="1">
      <c r="A14" s="47"/>
      <c r="B14" s="48"/>
      <c r="C14" s="48"/>
      <c r="D14" s="48"/>
      <c r="E14" s="88"/>
      <c r="F14" s="89"/>
      <c r="G14" s="90"/>
      <c r="H14" s="20"/>
      <c r="I14" s="14"/>
    </row>
    <row r="15" spans="1:23" ht="12.75" customHeight="1">
      <c r="H15" s="20"/>
      <c r="I15" s="14"/>
    </row>
    <row r="16" spans="1:23" ht="12.75" customHeight="1">
      <c r="H16" s="20"/>
      <c r="I16" s="14"/>
    </row>
    <row r="17" spans="5:9" ht="12.75" customHeight="1">
      <c r="H17" s="20"/>
      <c r="I17" s="14"/>
    </row>
    <row r="18" spans="5:9" ht="12.75" customHeight="1">
      <c r="E18" s="14"/>
      <c r="F18" s="17"/>
      <c r="G18" s="14"/>
      <c r="H18" s="14"/>
      <c r="I18" s="14"/>
    </row>
    <row r="19" spans="5:9" ht="12.75" customHeight="1">
      <c r="E19" s="14"/>
      <c r="F19" s="17"/>
      <c r="G19" s="14"/>
      <c r="H19" s="14"/>
      <c r="I19" s="14"/>
    </row>
    <row r="20" spans="5:9" ht="12.75" customHeight="1">
      <c r="E20" s="14"/>
      <c r="F20" s="17"/>
      <c r="G20" s="14"/>
      <c r="H20" s="14"/>
      <c r="I20" s="14"/>
    </row>
    <row r="21" spans="5:9" ht="12.75" customHeight="1">
      <c r="E21" s="14"/>
      <c r="F21" s="17"/>
      <c r="G21" s="14"/>
      <c r="H21" s="14"/>
      <c r="I21" s="14"/>
    </row>
    <row r="22" spans="5:9" ht="12.75" customHeight="1">
      <c r="E22" s="14"/>
      <c r="F22" s="17"/>
      <c r="G22" s="14"/>
      <c r="H22" s="14"/>
      <c r="I22" s="14"/>
    </row>
    <row r="23" spans="5:9" ht="12.75" customHeight="1"/>
    <row r="24" spans="5:9" ht="12.75" customHeight="1"/>
  </sheetData>
  <phoneticPr fontId="6" type="noConversion"/>
  <pageMargins left="0.75" right="0.75" top="1" bottom="1" header="0.5" footer="0.5"/>
  <pageSetup scale="65" orientation="landscape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FFFF99"/>
    <pageSetUpPr fitToPage="1"/>
  </sheetPr>
  <dimension ref="A1:J40"/>
  <sheetViews>
    <sheetView showGridLines="0" zoomScaleNormal="100" workbookViewId="0">
      <selection activeCell="G15" sqref="G15"/>
    </sheetView>
  </sheetViews>
  <sheetFormatPr defaultRowHeight="12"/>
  <cols>
    <col min="1" max="4" width="3" style="1" customWidth="1"/>
    <col min="5" max="5" width="20.7109375" customWidth="1"/>
    <col min="6" max="6" width="5.7109375" customWidth="1"/>
    <col min="7" max="7" width="18.7109375" customWidth="1"/>
    <col min="8" max="8" width="5.7109375" customWidth="1"/>
    <col min="9" max="9" width="18.7109375" customWidth="1"/>
    <col min="10" max="10" width="5.7109375" customWidth="1"/>
  </cols>
  <sheetData>
    <row r="1" spans="1:10" ht="15.75">
      <c r="A1" s="3" t="s">
        <v>39</v>
      </c>
    </row>
    <row r="2" spans="1:10" ht="15.75">
      <c r="A2" s="3" t="s">
        <v>66</v>
      </c>
    </row>
    <row r="3" spans="1:10">
      <c r="E3" s="1"/>
      <c r="F3" s="14"/>
      <c r="G3" s="14"/>
      <c r="H3" s="14"/>
      <c r="I3" s="14"/>
      <c r="J3" s="14"/>
    </row>
    <row r="4" spans="1:10">
      <c r="E4" s="14"/>
      <c r="F4" s="14"/>
      <c r="G4" s="14"/>
      <c r="H4" s="14"/>
      <c r="I4" s="14"/>
      <c r="J4" s="14"/>
    </row>
    <row r="5" spans="1:10" ht="12.75" customHeight="1">
      <c r="E5" s="14"/>
      <c r="F5" s="14"/>
      <c r="G5" s="14"/>
      <c r="H5" s="14"/>
      <c r="I5" s="14"/>
      <c r="J5" s="14"/>
    </row>
    <row r="6" spans="1:10" ht="12.75" customHeight="1" thickBot="1">
      <c r="A6" s="1" t="s">
        <v>16</v>
      </c>
      <c r="E6" s="14"/>
      <c r="F6" s="15"/>
      <c r="G6" s="32" t="s">
        <v>34</v>
      </c>
      <c r="H6" s="15"/>
      <c r="I6" s="32" t="s">
        <v>55</v>
      </c>
      <c r="J6" s="15"/>
    </row>
    <row r="7" spans="1:10" ht="12.75" customHeight="1" thickTop="1">
      <c r="E7" s="14"/>
      <c r="F7" s="14"/>
      <c r="G7" s="14"/>
      <c r="H7" s="14"/>
      <c r="I7" s="14"/>
      <c r="J7" s="14"/>
    </row>
    <row r="8" spans="1:10" ht="12.75" customHeight="1">
      <c r="E8" s="14"/>
      <c r="F8" s="14"/>
      <c r="G8" s="14"/>
      <c r="H8" s="14"/>
      <c r="I8" s="14"/>
      <c r="J8" s="14"/>
    </row>
    <row r="9" spans="1:10" ht="12.75" customHeight="1">
      <c r="A9" s="1" t="s">
        <v>17</v>
      </c>
      <c r="E9" s="14"/>
      <c r="F9" s="14"/>
      <c r="G9" s="14"/>
      <c r="H9" s="14"/>
      <c r="I9" s="14"/>
      <c r="J9" s="14"/>
    </row>
    <row r="10" spans="1:10" ht="12.75" customHeight="1">
      <c r="B10" s="35" t="s">
        <v>18</v>
      </c>
      <c r="E10" s="14"/>
      <c r="F10" s="14"/>
      <c r="G10" s="85">
        <v>15</v>
      </c>
      <c r="H10" s="14"/>
      <c r="I10" s="52">
        <f>+G10*12</f>
        <v>180</v>
      </c>
      <c r="J10" s="14"/>
    </row>
    <row r="11" spans="1:10" ht="12.75" customHeight="1">
      <c r="B11" s="35" t="s">
        <v>30</v>
      </c>
      <c r="E11" s="14"/>
      <c r="F11" s="14"/>
      <c r="G11" s="80">
        <v>3</v>
      </c>
      <c r="H11" s="14"/>
      <c r="I11" s="53">
        <f t="shared" ref="I11:I16" si="0">+G11*12</f>
        <v>36</v>
      </c>
      <c r="J11" s="14"/>
    </row>
    <row r="12" spans="1:10" ht="12.75" customHeight="1">
      <c r="B12" s="35" t="s">
        <v>19</v>
      </c>
      <c r="E12" s="14"/>
      <c r="F12" s="14"/>
      <c r="G12" s="80">
        <v>2.25</v>
      </c>
      <c r="H12" s="14"/>
      <c r="I12" s="53">
        <f t="shared" si="0"/>
        <v>27</v>
      </c>
      <c r="J12" s="14"/>
    </row>
    <row r="13" spans="1:10" ht="12.75" customHeight="1">
      <c r="B13" s="35" t="s">
        <v>36</v>
      </c>
      <c r="E13" s="14"/>
      <c r="F13" s="14"/>
      <c r="G13" s="80">
        <v>1.85</v>
      </c>
      <c r="H13" s="14"/>
      <c r="I13" s="53">
        <f t="shared" si="0"/>
        <v>22.200000000000003</v>
      </c>
      <c r="J13" s="14"/>
    </row>
    <row r="14" spans="1:10" ht="12.75" customHeight="1">
      <c r="B14" s="35" t="s">
        <v>38</v>
      </c>
      <c r="E14" s="14"/>
      <c r="F14" s="14"/>
      <c r="G14" s="80">
        <v>20</v>
      </c>
      <c r="H14" s="14"/>
      <c r="I14" s="53">
        <f t="shared" si="0"/>
        <v>240</v>
      </c>
      <c r="J14" s="14"/>
    </row>
    <row r="15" spans="1:10" ht="12.75" customHeight="1" thickBot="1">
      <c r="B15" s="35" t="s">
        <v>29</v>
      </c>
      <c r="E15" s="14"/>
      <c r="F15" s="21"/>
      <c r="G15" s="86">
        <v>2.0499999999999998</v>
      </c>
      <c r="H15" s="21"/>
      <c r="I15" s="54">
        <f t="shared" si="0"/>
        <v>24.599999999999998</v>
      </c>
      <c r="J15" s="21"/>
    </row>
    <row r="16" spans="1:10" ht="12.75" customHeight="1">
      <c r="A16" s="1" t="s">
        <v>20</v>
      </c>
      <c r="E16" s="14"/>
      <c r="F16" s="14"/>
      <c r="G16" s="18">
        <f>SUM(G10:G15)</f>
        <v>44.15</v>
      </c>
      <c r="H16" s="14"/>
      <c r="I16" s="18">
        <f t="shared" si="0"/>
        <v>529.79999999999995</v>
      </c>
      <c r="J16" s="14"/>
    </row>
    <row r="17" spans="1:10" ht="12.75" customHeight="1" thickBot="1">
      <c r="E17" s="14"/>
      <c r="F17" s="14"/>
      <c r="G17" s="18"/>
      <c r="H17" s="14"/>
      <c r="I17" s="18"/>
      <c r="J17" s="14"/>
    </row>
    <row r="18" spans="1:10" ht="18" customHeight="1" thickBot="1">
      <c r="A18" s="1" t="s">
        <v>21</v>
      </c>
      <c r="E18" s="14"/>
      <c r="F18" s="14"/>
      <c r="G18" s="265">
        <f>+G16</f>
        <v>44.15</v>
      </c>
      <c r="H18" s="266"/>
      <c r="I18" s="265">
        <f>+I16</f>
        <v>529.79999999999995</v>
      </c>
      <c r="J18" s="14"/>
    </row>
    <row r="19" spans="1:10" ht="12.75" customHeight="1" thickTop="1">
      <c r="E19" s="14"/>
      <c r="F19" s="14"/>
      <c r="G19" s="14"/>
      <c r="H19" s="14"/>
      <c r="I19" s="14"/>
      <c r="J19" s="14"/>
    </row>
    <row r="20" spans="1:10" ht="12.75" customHeight="1">
      <c r="E20" s="14"/>
      <c r="F20" s="14"/>
      <c r="G20" s="14"/>
      <c r="H20" s="14"/>
      <c r="I20" s="14"/>
      <c r="J20" s="14"/>
    </row>
    <row r="21" spans="1:10" ht="12.75" customHeight="1">
      <c r="E21" s="14"/>
      <c r="F21" s="14"/>
      <c r="G21" s="14"/>
      <c r="H21" s="14"/>
      <c r="I21" s="14"/>
      <c r="J21" s="14"/>
    </row>
    <row r="22" spans="1:10" ht="12.75" customHeight="1">
      <c r="E22" s="14"/>
      <c r="F22" s="14"/>
      <c r="G22" s="14"/>
      <c r="H22" s="14"/>
      <c r="I22" s="14"/>
      <c r="J22" s="14"/>
    </row>
    <row r="23" spans="1:10" ht="12.75" customHeight="1">
      <c r="E23" s="14"/>
      <c r="F23" s="14"/>
      <c r="G23" s="14"/>
      <c r="H23" s="14"/>
      <c r="I23" s="14"/>
      <c r="J23" s="14"/>
    </row>
    <row r="24" spans="1:10" ht="12.75" customHeight="1">
      <c r="E24" s="14"/>
      <c r="F24" s="14"/>
      <c r="G24" s="14"/>
      <c r="H24" s="14"/>
      <c r="I24" s="14"/>
      <c r="J24" s="14"/>
    </row>
    <row r="25" spans="1:10" ht="12.75" customHeight="1">
      <c r="E25" s="14"/>
      <c r="F25" s="14"/>
      <c r="G25" s="14"/>
      <c r="H25" s="14"/>
      <c r="I25" s="14"/>
      <c r="J25" s="14"/>
    </row>
    <row r="26" spans="1:10" ht="12.75" customHeight="1">
      <c r="E26" s="14"/>
      <c r="F26" s="14"/>
      <c r="G26" s="14"/>
      <c r="H26" s="14"/>
      <c r="I26" s="14"/>
      <c r="J26" s="14"/>
    </row>
    <row r="27" spans="1:10" ht="12.75" customHeight="1">
      <c r="E27" s="14"/>
      <c r="F27" s="14"/>
      <c r="G27" s="14"/>
      <c r="H27" s="14"/>
      <c r="I27" s="14"/>
      <c r="J27" s="14"/>
    </row>
    <row r="28" spans="1:10" ht="12.75" customHeight="1"/>
    <row r="29" spans="1:10" ht="12.75" customHeight="1"/>
    <row r="30" spans="1:10" ht="12.75" customHeight="1"/>
    <row r="31" spans="1:10" ht="12.75" customHeight="1"/>
    <row r="32" spans="1:10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</sheetData>
  <phoneticPr fontId="6" type="noConversion"/>
  <pageMargins left="0.75" right="0.75" top="1" bottom="1" header="0.5" footer="0.5"/>
  <pageSetup orientation="landscape" blackAndWhite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10</vt:i4>
      </vt:variant>
    </vt:vector>
  </HeadingPairs>
  <TitlesOfParts>
    <vt:vector size="19" baseType="lpstr">
      <vt:lpstr>Model Design</vt:lpstr>
      <vt:lpstr>1. Instructions</vt:lpstr>
      <vt:lpstr>2. Summary</vt:lpstr>
      <vt:lpstr>3. Sensitivity Analysis</vt:lpstr>
      <vt:lpstr>4. Acquisition Financing</vt:lpstr>
      <vt:lpstr>5. Projected Income Statement</vt:lpstr>
      <vt:lpstr>6. Projected Sales</vt:lpstr>
      <vt:lpstr>7. Projected Payroll</vt:lpstr>
      <vt:lpstr>8. Projected Oper. Expenses</vt:lpstr>
      <vt:lpstr>'1. Instructions'!Area_de_impressao</vt:lpstr>
      <vt:lpstr>'2. Summary'!Area_de_impressao</vt:lpstr>
      <vt:lpstr>'3. Sensitivity Analysis'!Area_de_impressao</vt:lpstr>
      <vt:lpstr>'4. Acquisition Financing'!Area_de_impressao</vt:lpstr>
      <vt:lpstr>'5. Projected Income Statement'!Area_de_impressao</vt:lpstr>
      <vt:lpstr>'6. Projected Sales'!Area_de_impressao</vt:lpstr>
      <vt:lpstr>'7. Projected Payroll'!Area_de_impressao</vt:lpstr>
      <vt:lpstr>'8. Projected Oper. Expenses'!Area_de_impressao</vt:lpstr>
      <vt:lpstr>'Model Design'!Area_de_impressao</vt:lpstr>
      <vt:lpstr>'5. Projected Income Statement'!Titulos_de_impressao</vt:lpstr>
    </vt:vector>
  </TitlesOfParts>
  <Company>CEDC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Hess</dc:creator>
  <cp:lastModifiedBy>Luis Mo</cp:lastModifiedBy>
  <cp:lastPrinted>2016-08-10T15:53:20Z</cp:lastPrinted>
  <dcterms:created xsi:type="dcterms:W3CDTF">2006-04-19T18:37:42Z</dcterms:created>
  <dcterms:modified xsi:type="dcterms:W3CDTF">2023-01-19T05:43:39Z</dcterms:modified>
</cp:coreProperties>
</file>